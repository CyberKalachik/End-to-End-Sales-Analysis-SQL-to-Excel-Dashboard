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МАРГАРИТА\USA\ОБУЧЕНИЕ\MS EXCEL\"/>
    </mc:Choice>
  </mc:AlternateContent>
  <xr:revisionPtr revIDLastSave="0" documentId="13_ncr:1_{6C8C1AC7-56D8-4AC6-8881-6F6F88C41282}" xr6:coauthVersionLast="47" xr6:coauthVersionMax="47" xr10:uidLastSave="{00000000-0000-0000-0000-000000000000}"/>
  <bookViews>
    <workbookView xWindow="-110" yWindow="-110" windowWidth="34620" windowHeight="13900" activeTab="2" xr2:uid="{20B925BC-B68E-4774-BA9E-36DA1721192C}"/>
  </bookViews>
  <sheets>
    <sheet name="Revenue and Profit by Product S" sheetId="3" r:id="rId1"/>
    <sheet name="Revenue by Age Group and Gender" sheetId="5" r:id="rId2"/>
    <sheet name="Units Sold by Year&amp;Profit" sheetId="7" r:id="rId3"/>
    <sheet name="Revenue and Profit Over Time" sheetId="2" r:id="rId4"/>
    <sheet name="Customer segments" sheetId="4" r:id="rId5"/>
  </sheets>
  <definedNames>
    <definedName name="ExternalData_1" localSheetId="3" hidden="1">'Revenue and Profit Over Time'!$A$1:$G$63</definedName>
    <definedName name="ExternalData_2" localSheetId="0" hidden="1">'Revenue and Profit by Product S'!$A$1:$E$18</definedName>
    <definedName name="ExternalData_3" localSheetId="4" hidden="1">'Customer segments'!$A$1:$F$49</definedName>
    <definedName name="Slicer_Country">#N/A</definedName>
    <definedName name="Slicer_Sub_Category">#N/A</definedName>
  </definedNames>
  <calcPr calcId="191029"/>
  <pivotCaches>
    <pivotCache cacheId="5"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monthly_kpis_7b48bd93-9e5e-41cb-946b-e5d64c8038f4" name="vw_monthly_kpis" connection="Query - vw_monthly_kpis"/>
          <x15:modelTable id="vw_category_kpis_8d32b9c6-e8d4-4fb1-86df-f15a4ad8e823" name="vw_category_kpis" connection="Query - vw_category_kpis"/>
          <x15:modelTable id="vw_customer_segments_a9404778-93ad-48b0-a41b-0bf85f5a4989" name="vw_customer_segments" connection="Query - vw_customer_segmen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H47" i="2"/>
  <c r="H35" i="2"/>
  <c r="H51" i="2"/>
  <c r="H7" i="2"/>
  <c r="H49" i="2"/>
  <c r="H48" i="2"/>
  <c r="H36" i="2"/>
  <c r="H25" i="2"/>
  <c r="H52" i="2"/>
  <c r="H62" i="2"/>
  <c r="H22" i="2"/>
  <c r="H58" i="2"/>
  <c r="H32" i="2"/>
  <c r="H54" i="2"/>
  <c r="H3" i="2"/>
  <c r="H45" i="2"/>
  <c r="H16" i="2"/>
  <c r="H18" i="2"/>
  <c r="H38" i="2"/>
  <c r="H46" i="2"/>
  <c r="H17" i="2"/>
  <c r="H20" i="2"/>
  <c r="H31" i="2"/>
  <c r="H56" i="2"/>
  <c r="H34" i="2"/>
  <c r="H27" i="2"/>
  <c r="H41" i="2"/>
  <c r="H55" i="2"/>
  <c r="H53" i="2"/>
  <c r="H33" i="2"/>
  <c r="H42" i="2"/>
  <c r="H9" i="2"/>
  <c r="H23" i="2"/>
  <c r="H14" i="2"/>
  <c r="H2" i="2"/>
  <c r="H37" i="2"/>
  <c r="H57" i="2"/>
  <c r="H40" i="2"/>
  <c r="H13" i="2"/>
  <c r="H61" i="2"/>
  <c r="H59" i="2"/>
  <c r="H24" i="2"/>
  <c r="H5" i="2"/>
  <c r="H44" i="2"/>
  <c r="H50" i="2"/>
  <c r="H10" i="2"/>
  <c r="H6" i="2"/>
  <c r="H60" i="2"/>
  <c r="H63" i="2"/>
  <c r="H15" i="2"/>
  <c r="H26" i="2"/>
  <c r="H4" i="2"/>
  <c r="H21" i="2"/>
  <c r="H30" i="2"/>
  <c r="H19" i="2"/>
  <c r="H11" i="2"/>
  <c r="H28" i="2"/>
  <c r="H8" i="2"/>
  <c r="H43" i="2"/>
  <c r="H39" i="2"/>
  <c r="H29" i="2"/>
  <c r="H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973E55-B383-4D3F-82BA-3662C2460832}" keepAlive="1" name="ModelConnection_ExternalData_1" description="Data Model" type="5" refreshedVersion="8" minRefreshableVersion="5" saveData="1">
    <dbPr connection="Data Model Connection" command="vw_monthly_kpis" commandType="3"/>
    <extLst>
      <ext xmlns:x15="http://schemas.microsoft.com/office/spreadsheetml/2010/11/main" uri="{DE250136-89BD-433C-8126-D09CA5730AF9}">
        <x15:connection id="" model="1"/>
      </ext>
    </extLst>
  </connection>
  <connection id="2" xr16:uid="{BC2DFBF8-F509-4873-A29A-729833731873}" keepAlive="1" name="ModelConnection_ExternalData_2" description="Data Model" type="5" refreshedVersion="8" minRefreshableVersion="5" saveData="1">
    <dbPr connection="Data Model Connection" command="vw_category_kpis" commandType="3"/>
    <extLst>
      <ext xmlns:x15="http://schemas.microsoft.com/office/spreadsheetml/2010/11/main" uri="{DE250136-89BD-433C-8126-D09CA5730AF9}">
        <x15:connection id="" model="1"/>
      </ext>
    </extLst>
  </connection>
  <connection id="3" xr16:uid="{61FE3FA4-EE29-4E40-A2A5-BF6D488586A8}" keepAlive="1" name="ModelConnection_ExternalData_3" description="Data Model" type="5" refreshedVersion="8" minRefreshableVersion="5" saveData="1">
    <dbPr connection="Data Model Connection" command="vw_customer_segments" commandType="3"/>
    <extLst>
      <ext xmlns:x15="http://schemas.microsoft.com/office/spreadsheetml/2010/11/main" uri="{DE250136-89BD-433C-8126-D09CA5730AF9}">
        <x15:connection id="" model="1"/>
      </ext>
    </extLst>
  </connection>
  <connection id="4" xr16:uid="{F0A32609-F150-44CA-9395-775F3D1AB744}" name="Query - vw_category_kpis" description="Connection to the 'vw_category_kpis' query in the workbook." type="100" refreshedVersion="8" minRefreshableVersion="5">
    <extLst>
      <ext xmlns:x15="http://schemas.microsoft.com/office/spreadsheetml/2010/11/main" uri="{DE250136-89BD-433C-8126-D09CA5730AF9}">
        <x15:connection id="715b860e-c505-413a-a465-6e5bbe1878dd"/>
      </ext>
    </extLst>
  </connection>
  <connection id="5" xr16:uid="{FBF8C446-CC2B-480C-9EA8-BE6329D73A0E}" name="Query - vw_customer_segments" description="Connection to the 'vw_customer_segments' query in the workbook." type="100" refreshedVersion="8" minRefreshableVersion="5">
    <extLst>
      <ext xmlns:x15="http://schemas.microsoft.com/office/spreadsheetml/2010/11/main" uri="{DE250136-89BD-433C-8126-D09CA5730AF9}">
        <x15:connection id="46cc86cb-c4a0-4200-9437-c6e8af191b07"/>
      </ext>
    </extLst>
  </connection>
  <connection id="6" xr16:uid="{9A2939C5-661F-4DFE-902D-719C5679EC50}" name="Query - vw_monthly_kpis" description="Connection to the 'vw_monthly_kpis' query in the workbook." type="100" refreshedVersion="8" minRefreshableVersion="5">
    <extLst>
      <ext xmlns:x15="http://schemas.microsoft.com/office/spreadsheetml/2010/11/main" uri="{DE250136-89BD-433C-8126-D09CA5730AF9}">
        <x15:connection id="3f0a3c8b-0940-48ca-a66b-79122894fc39"/>
      </ext>
    </extLst>
  </connection>
  <connection id="7" xr16:uid="{8A93629F-7A1E-4243-98E3-94DD3A69D2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<sst xmlns="http://schemas.openxmlformats.org/spreadsheetml/2006/main" count="309" uniqueCount="69">
  <si>
    <t>Year</t>
  </si>
  <si>
    <t>Month</t>
  </si>
  <si>
    <t>transactions</t>
  </si>
  <si>
    <t>units</t>
  </si>
  <si>
    <t>revenue</t>
  </si>
  <si>
    <t>profit</t>
  </si>
  <si>
    <t>March</t>
  </si>
  <si>
    <t>October</t>
  </si>
  <si>
    <t>July</t>
  </si>
  <si>
    <t>June</t>
  </si>
  <si>
    <t>May</t>
  </si>
  <si>
    <t>April</t>
  </si>
  <si>
    <t>November</t>
  </si>
  <si>
    <t>December</t>
  </si>
  <si>
    <t>August</t>
  </si>
  <si>
    <t>September</t>
  </si>
  <si>
    <t>February</t>
  </si>
  <si>
    <t>January</t>
  </si>
  <si>
    <t>Product_Category</t>
  </si>
  <si>
    <t>Sub_Category</t>
  </si>
  <si>
    <t>Accessories</t>
  </si>
  <si>
    <t>Bike Racks</t>
  </si>
  <si>
    <t>Bike Stands</t>
  </si>
  <si>
    <t>Bottles and Cages</t>
  </si>
  <si>
    <t>Clothing</t>
  </si>
  <si>
    <t>Caps</t>
  </si>
  <si>
    <t>Cleaners</t>
  </si>
  <si>
    <t>Fenders</t>
  </si>
  <si>
    <t>Gloves</t>
  </si>
  <si>
    <t>Helmets</t>
  </si>
  <si>
    <t>Hydration Packs</t>
  </si>
  <si>
    <t>Jerseys</t>
  </si>
  <si>
    <t>Bikes</t>
  </si>
  <si>
    <t>Mountain Bikes</t>
  </si>
  <si>
    <t>Road Bikes</t>
  </si>
  <si>
    <t>Shorts</t>
  </si>
  <si>
    <t>Socks</t>
  </si>
  <si>
    <t>Tires and Tubes</t>
  </si>
  <si>
    <t>Touring Bikes</t>
  </si>
  <si>
    <t>Vests</t>
  </si>
  <si>
    <t>Country</t>
  </si>
  <si>
    <t>Age_Group</t>
  </si>
  <si>
    <t>Customer_Gender</t>
  </si>
  <si>
    <t>Canada</t>
  </si>
  <si>
    <t>Youth (&lt;25)</t>
  </si>
  <si>
    <t>M</t>
  </si>
  <si>
    <t>France</t>
  </si>
  <si>
    <t>Seniors (64+)</t>
  </si>
  <si>
    <t>F</t>
  </si>
  <si>
    <t>United States</t>
  </si>
  <si>
    <t>Adults (35-64)</t>
  </si>
  <si>
    <t>Young Adults (25-34)</t>
  </si>
  <si>
    <t>Germany</t>
  </si>
  <si>
    <t>Australia</t>
  </si>
  <si>
    <t>United Kingdom</t>
  </si>
  <si>
    <t>Grand Total</t>
  </si>
  <si>
    <t>Sum of revenue</t>
  </si>
  <si>
    <t>Column Labels</t>
  </si>
  <si>
    <t>Date</t>
  </si>
  <si>
    <t>Profit</t>
  </si>
  <si>
    <t>Cost</t>
  </si>
  <si>
    <t>Revenue</t>
  </si>
  <si>
    <t>Units</t>
  </si>
  <si>
    <t>Transactions</t>
  </si>
  <si>
    <t>Profit Margin</t>
  </si>
  <si>
    <t>Sum of Units</t>
  </si>
  <si>
    <t>Age category</t>
  </si>
  <si>
    <t>PROFIT TABLE</t>
  </si>
  <si>
    <t>REVENUE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</si>
</sst>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x14ac:knownFonts="1">
    <font>
      <sz val="11"/>
      <color theme="1"/>
      <name val="Aptos Narrow"/>
      <family val="2"/>
      <scheme val="minor"/>
    </font>
    <font>
      <sz val="10"/>
      <color theme="1"/>
      <name val="Segoe UI"/>
      <family val="2"/>
    </font>
    <font>
      <sz val="12"/>
      <color theme="1"/>
      <name val="Segoe UI"/>
      <family val="2"/>
    </font>
    <font>
      <sz val="11"/>
      <color theme="1"/>
      <name val="Segoe UI"/>
      <family val="2"/>
    </font>
    <font>
      <sz val="11"/>
      <color theme="1" tint="4.9989318521683403E-2"/>
      <name val="Segoe UI"/>
      <family val="2"/>
    </font>
    <font>
      <sz val="10"/>
      <color theme="1" tint="4.9989318521683403E-2"/>
      <name val="Segoe UI"/>
      <family val="2"/>
    </font>
    <font>
      <sz val="11"/>
      <color theme="0"/>
      <name val="Aptos Narrow"/>
      <family val="2"/>
      <scheme val="minor"/>
    </font>
    <font>
      <sz val="11"/>
      <color theme="2" tint="-0.89999084444715716"/>
      <name val="Segoe UI"/>
      <family val="2"/>
    </font>
  </fonts>
  <fills count="10">
    <fill>
      <patternFill patternType="none"/>
    </fill>
    <fill>
      <patternFill patternType="gray125"/>
    </fill>
    <fill>
      <patternFill patternType="solid">
        <fgColor theme="3" tint="0.499984740745262"/>
        <bgColor indexed="64"/>
      </patternFill>
    </fill>
    <fill>
      <patternFill patternType="solid">
        <fgColor theme="3" tint="0.89996032593768116"/>
        <bgColor indexed="64"/>
      </patternFill>
    </fill>
    <fill>
      <patternFill patternType="solid">
        <fgColor rgb="FFF1F3F9"/>
        <bgColor indexed="64"/>
      </patternFill>
    </fill>
    <fill>
      <patternFill patternType="solid">
        <fgColor theme="3" tint="0.749961851863155"/>
        <bgColor indexed="64"/>
      </patternFill>
    </fill>
    <fill>
      <patternFill patternType="solid">
        <fgColor rgb="FFE9F2FB"/>
        <bgColor indexed="64"/>
      </patternFill>
    </fill>
    <fill>
      <patternFill patternType="solid">
        <fgColor rgb="FFEBF3FB"/>
        <bgColor theme="2"/>
      </patternFill>
    </fill>
    <fill>
      <patternFill patternType="solid">
        <fgColor rgb="FFEBF3FB"/>
        <bgColor indexed="64"/>
      </patternFill>
    </fill>
    <fill>
      <patternFill patternType="solid">
        <fgColor theme="4" tint="0.59999389629810485"/>
        <bgColor indexed="64"/>
      </patternFill>
    </fill>
  </fills>
  <borders count="26">
    <border>
      <left/>
      <right/>
      <top/>
      <bottom/>
      <diagonal/>
    </border>
    <border>
      <left style="hair">
        <color theme="3" tint="0.749961851863155"/>
      </left>
      <right style="hair">
        <color theme="3" tint="0.749961851863155"/>
      </right>
      <top style="hair">
        <color theme="3" tint="0.749961851863155"/>
      </top>
      <bottom style="hair">
        <color theme="3" tint="0.749961851863155"/>
      </bottom>
      <diagonal/>
    </border>
    <border>
      <left/>
      <right style="hair">
        <color theme="3" tint="0.749961851863155"/>
      </right>
      <top style="hair">
        <color theme="3" tint="0.749961851863155"/>
      </top>
      <bottom style="hair">
        <color theme="3" tint="0.749961851863155"/>
      </bottom>
      <diagonal/>
    </border>
    <border>
      <left style="hair">
        <color theme="3" tint="0.749961851863155"/>
      </left>
      <right/>
      <top style="hair">
        <color theme="3" tint="0.749961851863155"/>
      </top>
      <bottom style="hair">
        <color theme="3" tint="0.749961851863155"/>
      </bottom>
      <diagonal/>
    </border>
    <border>
      <left/>
      <right style="hair">
        <color theme="3" tint="0.749961851863155"/>
      </right>
      <top style="hair">
        <color theme="3" tint="0.749961851863155"/>
      </top>
      <bottom/>
      <diagonal/>
    </border>
    <border>
      <left style="hair">
        <color theme="3" tint="0.749961851863155"/>
      </left>
      <right style="hair">
        <color theme="3" tint="0.749961851863155"/>
      </right>
      <top style="hair">
        <color theme="3" tint="0.749961851863155"/>
      </top>
      <bottom/>
      <diagonal/>
    </border>
    <border>
      <left style="hair">
        <color theme="3" tint="0.749961851863155"/>
      </left>
      <right/>
      <top style="hair">
        <color theme="3" tint="0.749961851863155"/>
      </top>
      <bottom/>
      <diagonal/>
    </border>
    <border>
      <left style="hair">
        <color theme="3" tint="0.499984740745262"/>
      </left>
      <right style="hair">
        <color theme="3" tint="0.499984740745262"/>
      </right>
      <top style="hair">
        <color theme="3" tint="0.499984740745262"/>
      </top>
      <bottom style="hair">
        <color theme="3" tint="0.499984740745262"/>
      </bottom>
      <diagonal/>
    </border>
    <border>
      <left/>
      <right style="hair">
        <color theme="3" tint="0.499984740745262"/>
      </right>
      <top/>
      <bottom style="hair">
        <color theme="3" tint="0.499984740745262"/>
      </bottom>
      <diagonal/>
    </border>
    <border>
      <left style="hair">
        <color theme="3" tint="0.499984740745262"/>
      </left>
      <right style="hair">
        <color theme="3" tint="0.499984740745262"/>
      </right>
      <top/>
      <bottom style="hair">
        <color theme="3" tint="0.499984740745262"/>
      </bottom>
      <diagonal/>
    </border>
    <border>
      <left style="hair">
        <color theme="3" tint="0.499984740745262"/>
      </left>
      <right/>
      <top/>
      <bottom style="hair">
        <color theme="3" tint="0.499984740745262"/>
      </bottom>
      <diagonal/>
    </border>
    <border>
      <left/>
      <right style="hair">
        <color theme="3" tint="0.499984740745262"/>
      </right>
      <top style="hair">
        <color theme="3" tint="0.499984740745262"/>
      </top>
      <bottom style="hair">
        <color theme="3" tint="0.499984740745262"/>
      </bottom>
      <diagonal/>
    </border>
    <border>
      <left style="hair">
        <color theme="3" tint="0.499984740745262"/>
      </left>
      <right/>
      <top style="hair">
        <color theme="3" tint="0.499984740745262"/>
      </top>
      <bottom style="hair">
        <color theme="3" tint="0.499984740745262"/>
      </bottom>
      <diagonal/>
    </border>
    <border>
      <left/>
      <right style="hair">
        <color theme="3" tint="0.499984740745262"/>
      </right>
      <top style="hair">
        <color theme="3" tint="0.499984740745262"/>
      </top>
      <bottom/>
      <diagonal/>
    </border>
    <border>
      <left style="hair">
        <color theme="3" tint="0.499984740745262"/>
      </left>
      <right style="hair">
        <color theme="3" tint="0.499984740745262"/>
      </right>
      <top style="hair">
        <color theme="3" tint="0.499984740745262"/>
      </top>
      <bottom/>
      <diagonal/>
    </border>
    <border>
      <left style="hair">
        <color theme="3" tint="0.499984740745262"/>
      </left>
      <right/>
      <top style="hair">
        <color theme="3" tint="0.499984740745262"/>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74">
    <xf numFmtId="0" fontId="0" fillId="0" borderId="0" xfId="0"/>
    <xf numFmtId="0" fontId="2" fillId="0" borderId="0" xfId="0" applyFont="1"/>
    <xf numFmtId="2" fontId="2" fillId="0" borderId="0" xfId="0" applyNumberFormat="1" applyFont="1"/>
    <xf numFmtId="2" fontId="0" fillId="0" borderId="0" xfId="0" applyNumberFormat="1"/>
    <xf numFmtId="0" fontId="3" fillId="0" borderId="0" xfId="0" applyFont="1"/>
    <xf numFmtId="2" fontId="3" fillId="0" borderId="0" xfId="0" applyNumberFormat="1" applyFont="1"/>
    <xf numFmtId="0" fontId="2" fillId="3" borderId="0" xfId="0" applyFont="1" applyFill="1" applyAlignment="1">
      <alignment horizontal="left"/>
    </xf>
    <xf numFmtId="2" fontId="2" fillId="3" borderId="0" xfId="0" applyNumberFormat="1" applyFont="1" applyFill="1"/>
    <xf numFmtId="0" fontId="2" fillId="3" borderId="0" xfId="0" applyFont="1" applyFill="1"/>
    <xf numFmtId="0" fontId="4" fillId="5" borderId="0" xfId="0" applyFont="1" applyFill="1"/>
    <xf numFmtId="2" fontId="4" fillId="5" borderId="0" xfId="0" applyNumberFormat="1" applyFont="1" applyFill="1"/>
    <xf numFmtId="0" fontId="1" fillId="2" borderId="8" xfId="0" applyFont="1" applyFill="1" applyBorder="1" applyAlignment="1">
      <alignment horizontal="center"/>
    </xf>
    <xf numFmtId="0" fontId="1" fillId="2" borderId="9" xfId="0" applyFont="1" applyFill="1" applyBorder="1" applyAlignment="1">
      <alignment horizontal="center"/>
    </xf>
    <xf numFmtId="2" fontId="1" fillId="2" borderId="9" xfId="0" applyNumberFormat="1" applyFont="1" applyFill="1" applyBorder="1" applyAlignment="1">
      <alignment horizontal="center"/>
    </xf>
    <xf numFmtId="2" fontId="1" fillId="2" borderId="10" xfId="0" applyNumberFormat="1" applyFont="1" applyFill="1" applyBorder="1" applyAlignment="1">
      <alignment horizontal="center"/>
    </xf>
    <xf numFmtId="14" fontId="0" fillId="0" borderId="0" xfId="0" applyNumberFormat="1"/>
    <xf numFmtId="14" fontId="1" fillId="2" borderId="9" xfId="0" applyNumberFormat="1" applyFont="1" applyFill="1" applyBorder="1" applyAlignment="1">
      <alignment horizontal="center"/>
    </xf>
    <xf numFmtId="164" fontId="1" fillId="2" borderId="9" xfId="0" applyNumberFormat="1" applyFont="1" applyFill="1" applyBorder="1" applyAlignment="1">
      <alignment horizontal="center"/>
    </xf>
    <xf numFmtId="164" fontId="0" fillId="0" borderId="0" xfId="0" applyNumberFormat="1"/>
    <xf numFmtId="0" fontId="0" fillId="0" borderId="0" xfId="0" applyAlignment="1">
      <alignment horizontal="center"/>
    </xf>
    <xf numFmtId="0" fontId="1" fillId="6" borderId="11" xfId="0" applyFont="1" applyFill="1" applyBorder="1"/>
    <xf numFmtId="0" fontId="1" fillId="6" borderId="7" xfId="0" applyFont="1" applyFill="1" applyBorder="1"/>
    <xf numFmtId="2" fontId="1" fillId="6" borderId="7" xfId="0" applyNumberFormat="1" applyFont="1" applyFill="1" applyBorder="1"/>
    <xf numFmtId="2" fontId="1" fillId="6" borderId="12" xfId="0" applyNumberFormat="1" applyFont="1" applyFill="1" applyBorder="1"/>
    <xf numFmtId="14" fontId="1" fillId="6" borderId="9" xfId="0" applyNumberFormat="1" applyFont="1" applyFill="1" applyBorder="1"/>
    <xf numFmtId="164" fontId="1" fillId="6" borderId="9" xfId="0" applyNumberFormat="1" applyFont="1" applyFill="1" applyBorder="1"/>
    <xf numFmtId="14" fontId="1" fillId="6" borderId="7" xfId="0" applyNumberFormat="1" applyFont="1" applyFill="1" applyBorder="1"/>
    <xf numFmtId="164" fontId="1" fillId="6" borderId="7" xfId="0" applyNumberFormat="1" applyFont="1" applyFill="1" applyBorder="1"/>
    <xf numFmtId="0" fontId="1" fillId="6" borderId="13" xfId="0" applyFont="1" applyFill="1" applyBorder="1"/>
    <xf numFmtId="0" fontId="1" fillId="6" borderId="14" xfId="0" applyFont="1" applyFill="1" applyBorder="1"/>
    <xf numFmtId="2" fontId="1" fillId="6" borderId="14" xfId="0" applyNumberFormat="1" applyFont="1" applyFill="1" applyBorder="1"/>
    <xf numFmtId="2" fontId="1" fillId="6" borderId="15" xfId="0" applyNumberFormat="1" applyFont="1" applyFill="1" applyBorder="1"/>
    <xf numFmtId="14" fontId="1" fillId="6" borderId="14" xfId="0" applyNumberFormat="1" applyFont="1" applyFill="1" applyBorder="1"/>
    <xf numFmtId="164" fontId="1" fillId="6" borderId="14" xfId="0" applyNumberFormat="1" applyFont="1" applyFill="1" applyBorder="1"/>
    <xf numFmtId="0" fontId="3" fillId="4" borderId="1" xfId="0" applyFont="1" applyFill="1" applyBorder="1" applyAlignment="1">
      <alignment horizontal="left"/>
    </xf>
    <xf numFmtId="2" fontId="3" fillId="4" borderId="1" xfId="0" applyNumberFormat="1" applyFont="1" applyFill="1" applyBorder="1"/>
    <xf numFmtId="0" fontId="5" fillId="7" borderId="2" xfId="0" applyFont="1" applyFill="1" applyBorder="1"/>
    <xf numFmtId="0" fontId="5" fillId="7" borderId="1" xfId="0" applyFont="1" applyFill="1" applyBorder="1"/>
    <xf numFmtId="2" fontId="5" fillId="7" borderId="1" xfId="0" applyNumberFormat="1" applyFont="1" applyFill="1" applyBorder="1"/>
    <xf numFmtId="2" fontId="5" fillId="7" borderId="3" xfId="0" applyNumberFormat="1" applyFont="1" applyFill="1" applyBorder="1"/>
    <xf numFmtId="0" fontId="5" fillId="7" borderId="4" xfId="0" applyFont="1" applyFill="1" applyBorder="1"/>
    <xf numFmtId="0" fontId="5" fillId="7" borderId="5" xfId="0" applyFont="1" applyFill="1" applyBorder="1"/>
    <xf numFmtId="2" fontId="5" fillId="7" borderId="5" xfId="0" applyNumberFormat="1" applyFont="1" applyFill="1" applyBorder="1"/>
    <xf numFmtId="2" fontId="5" fillId="7" borderId="6" xfId="0" applyNumberFormat="1" applyFont="1" applyFill="1" applyBorder="1"/>
    <xf numFmtId="0" fontId="7" fillId="5" borderId="0" xfId="0" applyFont="1" applyFill="1"/>
    <xf numFmtId="0" fontId="1" fillId="8" borderId="16" xfId="0" applyFont="1" applyFill="1" applyBorder="1"/>
    <xf numFmtId="2" fontId="7" fillId="5" borderId="0" xfId="0" applyNumberFormat="1" applyFont="1" applyFill="1"/>
    <xf numFmtId="2" fontId="1" fillId="8" borderId="16" xfId="0" applyNumberFormat="1" applyFont="1" applyFill="1" applyBorder="1"/>
    <xf numFmtId="0" fontId="7" fillId="5" borderId="0" xfId="0" applyFont="1" applyFill="1" applyAlignment="1">
      <alignment horizontal="center"/>
    </xf>
    <xf numFmtId="0" fontId="1" fillId="8" borderId="16" xfId="0" applyFont="1" applyFill="1" applyBorder="1" applyAlignment="1">
      <alignment horizontal="center"/>
    </xf>
    <xf numFmtId="0" fontId="0" fillId="0" borderId="18" xfId="0" pivotButton="1" applyBorder="1" applyAlignment="1">
      <alignment horizontal="center"/>
    </xf>
    <xf numFmtId="2" fontId="0" fillId="0" borderId="19" xfId="0" applyNumberFormat="1" applyBorder="1" applyAlignment="1">
      <alignment horizontal="center"/>
    </xf>
    <xf numFmtId="0" fontId="0" fillId="0" borderId="19" xfId="0" pivotButton="1" applyBorder="1"/>
    <xf numFmtId="2" fontId="0" fillId="0" borderId="20" xfId="0" applyNumberFormat="1" applyBorder="1" applyAlignment="1">
      <alignment horizontal="center"/>
    </xf>
    <xf numFmtId="0" fontId="0" fillId="0" borderId="21" xfId="0" applyBorder="1" applyAlignment="1">
      <alignment horizontal="left"/>
    </xf>
    <xf numFmtId="2" fontId="0" fillId="0" borderId="22" xfId="0" applyNumberFormat="1" applyBorder="1"/>
    <xf numFmtId="0" fontId="0" fillId="0" borderId="22" xfId="0" applyBorder="1" applyAlignment="1">
      <alignment horizontal="left"/>
    </xf>
    <xf numFmtId="2" fontId="0" fillId="0" borderId="23" xfId="0" applyNumberFormat="1" applyBorder="1" applyAlignment="1">
      <alignment horizontal="center"/>
    </xf>
    <xf numFmtId="0" fontId="0" fillId="0" borderId="24" xfId="0" applyBorder="1" applyAlignment="1">
      <alignment horizontal="left"/>
    </xf>
    <xf numFmtId="2" fontId="1" fillId="0" borderId="24" xfId="0" applyNumberFormat="1" applyFont="1" applyBorder="1"/>
    <xf numFmtId="2" fontId="1" fillId="0" borderId="17" xfId="0" applyNumberFormat="1" applyFont="1" applyBorder="1"/>
    <xf numFmtId="0" fontId="0" fillId="0" borderId="17" xfId="0" applyBorder="1" applyAlignment="1">
      <alignment horizontal="left"/>
    </xf>
    <xf numFmtId="2" fontId="1" fillId="0" borderId="25" xfId="0" applyNumberFormat="1" applyFont="1" applyBorder="1"/>
    <xf numFmtId="0" fontId="0" fillId="0" borderId="25" xfId="0" applyBorder="1" applyAlignment="1">
      <alignment horizontal="left"/>
    </xf>
    <xf numFmtId="2" fontId="0" fillId="0" borderId="17" xfId="0" applyNumberFormat="1" applyBorder="1"/>
    <xf numFmtId="0" fontId="1" fillId="0" borderId="24" xfId="0" applyFont="1" applyBorder="1" applyAlignment="1">
      <alignment horizontal="left"/>
    </xf>
    <xf numFmtId="2" fontId="0" fillId="0" borderId="24" xfId="0" applyNumberFormat="1" applyBorder="1" applyAlignment="1">
      <alignment horizontal="center"/>
    </xf>
    <xf numFmtId="0" fontId="1" fillId="0" borderId="17" xfId="0" applyFont="1" applyBorder="1" applyAlignment="1">
      <alignment horizontal="left"/>
    </xf>
    <xf numFmtId="2" fontId="0" fillId="0" borderId="17" xfId="0" applyNumberFormat="1" applyBorder="1" applyAlignment="1">
      <alignment horizontal="center"/>
    </xf>
    <xf numFmtId="0" fontId="1" fillId="0" borderId="25" xfId="0" applyFont="1" applyBorder="1" applyAlignment="1">
      <alignment horizontal="left"/>
    </xf>
    <xf numFmtId="2" fontId="0" fillId="0" borderId="25" xfId="0" applyNumberFormat="1" applyBorder="1" applyAlignment="1">
      <alignment horizontal="center"/>
    </xf>
    <xf numFmtId="0" fontId="6" fillId="9" borderId="17" xfId="0" applyFont="1" applyFill="1" applyBorder="1"/>
    <xf numFmtId="2" fontId="0" fillId="0" borderId="17" xfId="0" pivotButton="1" applyNumberFormat="1" applyBorder="1"/>
    <xf numFmtId="0" fontId="0" fillId="0" borderId="17" xfId="0" pivotButton="1" applyBorder="1"/>
  </cellXfs>
  <cellStyles count="1">
    <cellStyle name="Normal" xfId="0" builtinId="0"/>
  </cellStyles>
  <dxfs count="1371">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auto="1"/>
        </left>
        <right style="thin">
          <color auto="1"/>
        </right>
        <bottom style="thin">
          <color auto="1"/>
        </bottom>
      </border>
    </dxf>
    <dxf>
      <border>
        <left/>
        <right/>
        <vertical style="thin">
          <color auto="1"/>
        </vertical>
        <horizontal style="thin">
          <color auto="1"/>
        </horizontal>
      </border>
    </dxf>
    <dxf>
      <border>
        <left/>
        <right/>
        <vertical style="thin">
          <color auto="1"/>
        </vertical>
        <horizontal style="thin">
          <color auto="1"/>
        </horizontal>
      </border>
    </dxf>
    <dxf>
      <fill>
        <patternFill patternType="solid">
          <bgColor theme="4" tint="0.59999389629810485"/>
        </patternFill>
      </fill>
    </dxf>
    <dxf>
      <font>
        <color theme="0"/>
      </font>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numFmt numFmtId="2" formatCode="0.00"/>
    </dxf>
    <dxf>
      <numFmt numFmtId="2" formatCode="0.00"/>
    </dxf>
    <dxf>
      <numFmt numFmtId="2" formatCode="0.00"/>
    </dxf>
    <dxf>
      <numFmt numFmtId="2" formatCode="0.00"/>
    </dxf>
    <dxf>
      <numFmt numFmtId="2" formatCode="0.00"/>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right/>
        <top/>
        <horizontal style="thin">
          <color auto="1"/>
        </horizontal>
      </border>
    </dxf>
    <dxf>
      <border>
        <left/>
        <right/>
        <top/>
        <horizontal style="thin">
          <color auto="1"/>
        </horizontal>
      </border>
    </dxf>
    <dxf>
      <fill>
        <patternFill patternType="solid">
          <bgColor theme="4" tint="0.59999389629810485"/>
        </patternFill>
      </fill>
    </dxf>
    <dxf>
      <font>
        <color theme="0"/>
      </font>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auto="1"/>
        </left>
        <right style="thin">
          <color auto="1"/>
        </right>
        <bottom style="thin">
          <color auto="1"/>
        </bottom>
      </border>
    </dxf>
    <dxf>
      <border>
        <left/>
        <right/>
        <vertical style="thin">
          <color auto="1"/>
        </vertical>
        <horizontal style="thin">
          <color auto="1"/>
        </horizontal>
      </border>
    </dxf>
    <dxf>
      <border>
        <left/>
        <right/>
        <vertical style="thin">
          <color auto="1"/>
        </vertical>
        <horizontal style="thin">
          <color auto="1"/>
        </horizontal>
      </border>
    </dxf>
    <dxf>
      <fill>
        <patternFill patternType="solid">
          <bgColor theme="4" tint="0.59999389629810485"/>
        </patternFill>
      </fill>
    </dxf>
    <dxf>
      <font>
        <color theme="0"/>
      </font>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numFmt numFmtId="2" formatCode="0.00"/>
    </dxf>
    <dxf>
      <numFmt numFmtId="2" formatCode="0.00"/>
    </dxf>
    <dxf>
      <numFmt numFmtId="2" formatCode="0.00"/>
    </dxf>
    <dxf>
      <numFmt numFmtId="2" formatCode="0.00"/>
    </dxf>
    <dxf>
      <numFmt numFmtId="2" formatCode="0.00"/>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right/>
        <top/>
        <horizontal style="thin">
          <color auto="1"/>
        </horizontal>
      </border>
    </dxf>
    <dxf>
      <border>
        <left/>
        <right/>
        <top/>
        <horizontal style="thin">
          <color auto="1"/>
        </horizontal>
      </border>
    </dxf>
    <dxf>
      <fill>
        <patternFill patternType="solid">
          <bgColor theme="4" tint="0.59999389629810485"/>
        </patternFill>
      </fill>
    </dxf>
    <dxf>
      <font>
        <color theme="0"/>
      </font>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auto="1"/>
        </left>
        <right style="thin">
          <color auto="1"/>
        </right>
        <bottom style="thin">
          <color auto="1"/>
        </bottom>
      </border>
    </dxf>
    <dxf>
      <border>
        <left/>
        <right/>
        <vertical style="thin">
          <color auto="1"/>
        </vertical>
        <horizontal style="thin">
          <color auto="1"/>
        </horizontal>
      </border>
    </dxf>
    <dxf>
      <border>
        <left/>
        <right/>
        <vertical style="thin">
          <color auto="1"/>
        </vertical>
        <horizontal style="thin">
          <color auto="1"/>
        </horizontal>
      </border>
    </dxf>
    <dxf>
      <fill>
        <patternFill patternType="solid">
          <bgColor theme="4" tint="0.59999389629810485"/>
        </patternFill>
      </fill>
    </dxf>
    <dxf>
      <font>
        <color theme="0"/>
      </font>
    </dxf>
    <dxf>
      <numFmt numFmtId="2" formatCode="0.00"/>
    </dxf>
    <dxf>
      <numFmt numFmtId="2" formatCode="0.00"/>
    </dxf>
    <dxf>
      <numFmt numFmtId="2" formatCode="0.00"/>
    </dxf>
    <dxf>
      <numFmt numFmtId="2" formatCode="0.00"/>
    </dxf>
    <dxf>
      <numFmt numFmtId="2" formatCode="0.00"/>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right/>
        <top/>
        <horizontal style="thin">
          <color auto="1"/>
        </horizontal>
      </border>
    </dxf>
    <dxf>
      <border>
        <left/>
        <right/>
        <top/>
        <horizontal style="thin">
          <color auto="1"/>
        </horizontal>
      </border>
    </dxf>
    <dxf>
      <fill>
        <patternFill patternType="solid">
          <bgColor theme="4" tint="0.59999389629810485"/>
        </patternFill>
      </fill>
    </dxf>
    <dxf>
      <font>
        <color theme="0"/>
      </font>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alignment horizontal="center"/>
    </dxf>
    <dxf>
      <alignment horizontal="cent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font>
        <name val="Segoe UI"/>
        <scheme val="none"/>
      </font>
    </dxf>
    <dxf>
      <font>
        <name val="Segoe UI"/>
        <scheme val="none"/>
      </font>
    </dxf>
    <dxf>
      <font>
        <sz val="10"/>
      </font>
    </dxf>
    <dxf>
      <font>
        <sz val="10"/>
      </font>
    </dxf>
    <dxf>
      <numFmt numFmtId="2" formatCode="0.00"/>
    </dxf>
    <dxf>
      <numFmt numFmtId="2" formatCode="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top/>
        <bottom/>
        <vertical style="thin">
          <color auto="1"/>
        </vertical>
        <horizontal style="thin">
          <color auto="1"/>
        </horizontal>
      </border>
    </dxf>
    <dxf>
      <border>
        <left/>
        <right/>
        <top/>
        <bottom/>
        <vertical style="thin">
          <color auto="1"/>
        </vertical>
        <horizontal style="thin">
          <color auto="1"/>
        </horizontal>
      </border>
    </dxf>
    <dxf>
      <numFmt numFmtId="2" formatCode="0.00"/>
    </dxf>
    <dxf>
      <numFmt numFmtId="2" formatCode="0.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top/>
        <bottom/>
        <vertical style="thin">
          <color auto="1"/>
        </vertical>
        <horizontal style="thin">
          <color auto="1"/>
        </horizontal>
      </border>
    </dxf>
    <dxf>
      <border>
        <left/>
        <right/>
        <top/>
        <bottom/>
        <vertical style="thin">
          <color auto="1"/>
        </vertical>
        <horizontal style="thin">
          <color auto="1"/>
        </horizontal>
      </border>
    </dxf>
    <dxf>
      <font>
        <color theme="0"/>
      </font>
    </dxf>
    <dxf>
      <font>
        <color theme="0"/>
      </font>
    </dxf>
    <dxf>
      <fill>
        <patternFill patternType="solid">
          <bgColor theme="4" tint="0.59999389629810485"/>
        </patternFill>
      </fill>
    </dxf>
    <dxf>
      <fill>
        <patternFill patternType="solid">
          <bgColor theme="4" tint="0.59999389629810485"/>
        </patternFill>
      </fill>
    </dxf>
    <dxf>
      <border>
        <left/>
        <right/>
        <top/>
        <horizontal style="thin">
          <color auto="1"/>
        </horizontal>
      </border>
    </dxf>
    <dxf>
      <border>
        <left/>
        <right/>
        <top/>
        <horizontal style="thin">
          <color auto="1"/>
        </horizontal>
      </border>
    </dxf>
    <dxf>
      <border>
        <left/>
        <right/>
        <vertical style="thin">
          <color auto="1"/>
        </vertical>
        <horizontal style="thin">
          <color auto="1"/>
        </horizontal>
      </border>
    </dxf>
    <dxf>
      <border>
        <left/>
        <right/>
        <vertical style="thin">
          <color auto="1"/>
        </vertical>
        <horizontal style="thin">
          <color auto="1"/>
        </horizontal>
      </border>
    </dxf>
    <dxf>
      <border>
        <left/>
        <right/>
        <top/>
        <bottom/>
        <vertical style="thin">
          <color auto="1"/>
        </vertical>
        <horizontal style="thin">
          <color auto="1"/>
        </horizontal>
      </border>
    </dxf>
    <dxf>
      <border>
        <left/>
        <right/>
        <top/>
        <bottom/>
        <vertical style="thin">
          <color auto="1"/>
        </vertical>
        <horizontal style="thin">
          <color auto="1"/>
        </horizontal>
      </border>
    </dxf>
    <dxf>
      <border>
        <left/>
        <right/>
        <top/>
        <bottom/>
        <vertical style="thin">
          <color auto="1"/>
        </vertical>
        <horizontal style="thin">
          <color auto="1"/>
        </horizontal>
      </border>
    </dxf>
    <dxf>
      <border>
        <left/>
        <right/>
        <top/>
        <bottom/>
        <vertical style="thin">
          <color auto="1"/>
        </vertical>
        <horizontal style="thin">
          <color auto="1"/>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89996032593768116"/>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patternType="solid">
          <bgColor theme="3" tint="0.89996032593768116"/>
        </patternFill>
      </fill>
    </dxf>
    <dxf>
      <fill>
        <patternFill>
          <bgColor theme="2"/>
        </patternFill>
      </fill>
    </dxf>
    <dxf>
      <fill>
        <patternFill>
          <bgColor rgb="FFF1F3F9"/>
        </patternFill>
      </fill>
    </dxf>
    <dxf>
      <fill>
        <patternFill>
          <bgColor rgb="FFF1F3F9"/>
        </patternFill>
      </fill>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border>
        <left style="hair">
          <color theme="3" tint="0.749961851863155"/>
        </left>
        <right style="hair">
          <color theme="3" tint="0.749961851863155"/>
        </right>
        <top style="hair">
          <color theme="3" tint="0.749961851863155"/>
        </top>
        <bottom style="hair">
          <color theme="3" tint="0.749961851863155"/>
        </bottom>
        <vertical style="hair">
          <color theme="3" tint="0.749961851863155"/>
        </vertical>
        <horizontal style="hair">
          <color theme="3" tint="0.749961851863155"/>
        </horizontal>
      </border>
    </dxf>
    <dxf>
      <font>
        <sz val="11"/>
      </font>
    </dxf>
    <dxf>
      <font>
        <sz val="11"/>
      </font>
    </dxf>
    <dxf>
      <numFmt numFmtId="2" formatCode="0.00"/>
    </dxf>
    <dxf>
      <numFmt numFmtId="2" formatCode="0.00"/>
    </dxf>
    <dxf>
      <font>
        <strike val="0"/>
        <outline val="0"/>
        <shadow val="0"/>
        <u val="none"/>
        <vertAlign val="baseline"/>
        <sz val="10"/>
        <color theme="1"/>
        <name val="Segoe UI"/>
        <family val="2"/>
        <scheme val="none"/>
      </font>
      <numFmt numFmtId="0" formatCode="General"/>
      <fill>
        <patternFill patternType="solid">
          <fgColor indexed="64"/>
          <bgColor rgb="FFEBF3FB"/>
        </patternFill>
      </fill>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0"/>
        <color theme="1"/>
        <name val="Segoe UI"/>
        <family val="2"/>
        <scheme val="none"/>
      </font>
      <numFmt numFmtId="2" formatCode="0.00"/>
      <fill>
        <patternFill patternType="solid">
          <fgColor indexed="64"/>
          <bgColor rgb="FFEBF3FB"/>
        </patternFill>
      </fill>
      <border diagonalUp="0" diagonalDown="0" outline="0">
        <left style="hair">
          <color auto="1"/>
        </left>
        <right style="hair">
          <color auto="1"/>
        </right>
        <top style="hair">
          <color auto="1"/>
        </top>
        <bottom style="hair">
          <color auto="1"/>
        </bottom>
      </border>
    </dxf>
    <dxf>
      <font>
        <strike val="0"/>
        <outline val="0"/>
        <shadow val="0"/>
        <u val="none"/>
        <vertAlign val="baseline"/>
        <sz val="10"/>
        <color theme="1"/>
        <name val="Segoe UI"/>
        <family val="2"/>
        <scheme val="none"/>
      </font>
      <numFmt numFmtId="2" formatCode="0.00"/>
      <fill>
        <patternFill patternType="solid">
          <fgColor indexed="64"/>
          <bgColor rgb="FFEBF3FB"/>
        </patternFill>
      </fill>
      <border diagonalUp="0" diagonalDown="0" outline="0">
        <left style="hair">
          <color auto="1"/>
        </left>
        <right style="hair">
          <color auto="1"/>
        </right>
        <top style="hair">
          <color auto="1"/>
        </top>
        <bottom style="hair">
          <color auto="1"/>
        </bottom>
      </border>
    </dxf>
    <dxf>
      <font>
        <strike val="0"/>
        <outline val="0"/>
        <shadow val="0"/>
        <u val="none"/>
        <vertAlign val="baseline"/>
        <sz val="10"/>
        <color theme="1"/>
        <name val="Segoe UI"/>
        <family val="2"/>
        <scheme val="none"/>
      </font>
      <numFmt numFmtId="2" formatCode="0.00"/>
      <fill>
        <patternFill patternType="solid">
          <fgColor indexed="64"/>
          <bgColor rgb="FFEBF3FB"/>
        </patternFill>
      </fill>
      <border diagonalUp="0" diagonalDown="0" outline="0">
        <left style="hair">
          <color auto="1"/>
        </left>
        <right style="hair">
          <color auto="1"/>
        </right>
        <top style="hair">
          <color auto="1"/>
        </top>
        <bottom style="hair">
          <color auto="1"/>
        </bottom>
      </border>
    </dxf>
    <dxf>
      <font>
        <strike val="0"/>
        <outline val="0"/>
        <shadow val="0"/>
        <u val="none"/>
        <vertAlign val="baseline"/>
        <sz val="10"/>
        <color theme="1"/>
        <name val="Segoe UI"/>
        <family val="2"/>
        <scheme val="none"/>
      </font>
      <fill>
        <patternFill patternType="solid">
          <fgColor indexed="64"/>
          <bgColor rgb="FFEBF3FB"/>
        </patternFill>
      </fill>
    </dxf>
    <dxf>
      <font>
        <strike val="0"/>
        <outline val="0"/>
        <shadow val="0"/>
        <u val="none"/>
        <vertAlign val="baseline"/>
        <sz val="10"/>
        <color theme="1"/>
        <name val="Segoe UI"/>
        <family val="2"/>
        <scheme val="none"/>
      </font>
      <numFmt numFmtId="0" formatCode="General"/>
      <fill>
        <patternFill patternType="solid">
          <fgColor indexed="64"/>
          <bgColor rgb="FFEBF3FB"/>
        </patternFill>
      </fill>
      <border diagonalUp="0" diagonalDown="0" outline="0">
        <left style="hair">
          <color auto="1"/>
        </left>
        <right style="hair">
          <color auto="1"/>
        </right>
        <top style="hair">
          <color auto="1"/>
        </top>
        <bottom style="hair">
          <color auto="1"/>
        </bottom>
      </border>
    </dxf>
    <dxf>
      <font>
        <strike val="0"/>
        <outline val="0"/>
        <shadow val="0"/>
        <u val="none"/>
        <vertAlign val="baseline"/>
        <sz val="10"/>
        <color theme="1"/>
        <name val="Segoe UI"/>
        <family val="2"/>
        <scheme val="none"/>
      </font>
      <numFmt numFmtId="0" formatCode="General"/>
      <fill>
        <patternFill patternType="solid">
          <fgColor indexed="64"/>
          <bgColor rgb="FFEBF3FB"/>
        </patternFill>
      </fill>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2" tint="-0.89999084444715716"/>
        <name val="Segoe UI"/>
        <family val="2"/>
        <scheme val="none"/>
      </font>
      <fill>
        <patternFill patternType="solid">
          <fgColor indexed="64"/>
          <bgColor theme="3" tint="0.749961851863155"/>
        </patternFill>
      </fill>
    </dxf>
    <dxf>
      <font>
        <b val="0"/>
        <i val="0"/>
        <strike val="0"/>
        <outline val="0"/>
        <shadow val="0"/>
        <u val="none"/>
        <vertAlign val="baseline"/>
        <sz val="10"/>
        <color theme="1" tint="4.9989318521683403E-2"/>
        <name val="Segoe UI"/>
        <family val="2"/>
        <scheme val="none"/>
      </font>
      <fill>
        <patternFill patternType="solid">
          <fgColor theme="2"/>
          <bgColor rgb="FFEBF3FB"/>
        </patternFill>
      </fill>
    </dxf>
    <dxf>
      <font>
        <b val="0"/>
        <i val="0"/>
        <strike val="0"/>
        <outline val="0"/>
        <shadow val="0"/>
        <u val="none"/>
        <vertAlign val="baseline"/>
        <sz val="10"/>
        <color theme="1" tint="4.9989318521683403E-2"/>
        <name val="Segoe UI"/>
        <family val="2"/>
        <scheme val="none"/>
      </font>
      <numFmt numFmtId="2" formatCode="0.00"/>
      <fill>
        <patternFill patternType="solid">
          <fgColor theme="2"/>
          <bgColor rgb="FFEBF3FB"/>
        </patternFill>
      </fill>
      <border diagonalUp="0" diagonalDown="0">
        <left style="hair">
          <color theme="3" tint="0.749961851863155"/>
        </left>
        <right/>
        <top style="hair">
          <color theme="3" tint="0.749961851863155"/>
        </top>
        <bottom style="hair">
          <color theme="3" tint="0.749961851863155"/>
        </bottom>
      </border>
    </dxf>
    <dxf>
      <font>
        <b val="0"/>
        <i val="0"/>
        <strike val="0"/>
        <outline val="0"/>
        <shadow val="0"/>
        <u val="none"/>
        <vertAlign val="baseline"/>
        <sz val="10"/>
        <color theme="1" tint="4.9989318521683403E-2"/>
        <name val="Segoe UI"/>
        <family val="2"/>
        <scheme val="none"/>
      </font>
      <numFmt numFmtId="2" formatCode="0.00"/>
      <fill>
        <patternFill patternType="solid">
          <fgColor theme="2"/>
          <bgColor rgb="FFEBF3FB"/>
        </patternFill>
      </fill>
      <border diagonalUp="0" diagonalDown="0">
        <left style="hair">
          <color theme="3" tint="0.749961851863155"/>
        </left>
        <right style="hair">
          <color theme="3" tint="0.749961851863155"/>
        </right>
        <top style="hair">
          <color theme="3" tint="0.749961851863155"/>
        </top>
        <bottom style="hair">
          <color theme="3" tint="0.749961851863155"/>
        </bottom>
      </border>
    </dxf>
    <dxf>
      <font>
        <b val="0"/>
        <i val="0"/>
        <strike val="0"/>
        <outline val="0"/>
        <shadow val="0"/>
        <u val="none"/>
        <vertAlign val="baseline"/>
        <sz val="10"/>
        <color theme="1" tint="4.9989318521683403E-2"/>
        <name val="Segoe UI"/>
        <family val="2"/>
        <scheme val="none"/>
      </font>
      <numFmt numFmtId="2" formatCode="0.00"/>
      <fill>
        <patternFill patternType="solid">
          <fgColor theme="2"/>
          <bgColor rgb="FFEBF3FB"/>
        </patternFill>
      </fill>
      <border diagonalUp="0" diagonalDown="0">
        <left style="hair">
          <color theme="3" tint="0.749961851863155"/>
        </left>
        <right style="hair">
          <color theme="3" tint="0.749961851863155"/>
        </right>
        <top style="hair">
          <color theme="3" tint="0.749961851863155"/>
        </top>
        <bottom style="hair">
          <color theme="3" tint="0.749961851863155"/>
        </bottom>
      </border>
    </dxf>
    <dxf>
      <font>
        <b val="0"/>
        <i val="0"/>
        <strike val="0"/>
        <outline val="0"/>
        <shadow val="0"/>
        <u val="none"/>
        <vertAlign val="baseline"/>
        <sz val="10"/>
        <color theme="1" tint="4.9989318521683403E-2"/>
        <name val="Segoe UI"/>
        <family val="2"/>
        <scheme val="none"/>
      </font>
      <numFmt numFmtId="0" formatCode="General"/>
      <fill>
        <patternFill patternType="solid">
          <fgColor theme="2"/>
          <bgColor rgb="FFEBF3FB"/>
        </patternFill>
      </fill>
      <border diagonalUp="0" diagonalDown="0">
        <left style="hair">
          <color theme="3" tint="0.749961851863155"/>
        </left>
        <right style="hair">
          <color theme="3" tint="0.749961851863155"/>
        </right>
        <top style="hair">
          <color theme="3" tint="0.749961851863155"/>
        </top>
        <bottom style="hair">
          <color theme="3" tint="0.749961851863155"/>
        </bottom>
      </border>
    </dxf>
    <dxf>
      <font>
        <b val="0"/>
        <i val="0"/>
        <strike val="0"/>
        <outline val="0"/>
        <shadow val="0"/>
        <u val="none"/>
        <vertAlign val="baseline"/>
        <sz val="10"/>
        <color theme="1" tint="4.9989318521683403E-2"/>
        <name val="Segoe UI"/>
        <family val="2"/>
        <scheme val="none"/>
      </font>
      <numFmt numFmtId="0" formatCode="General"/>
      <fill>
        <patternFill patternType="solid">
          <fgColor theme="2"/>
          <bgColor rgb="FFEBF3FB"/>
        </patternFill>
      </fill>
      <border diagonalUp="0" diagonalDown="0">
        <left/>
        <right style="hair">
          <color theme="3" tint="0.749961851863155"/>
        </right>
        <top style="hair">
          <color theme="3" tint="0.749961851863155"/>
        </top>
        <bottom style="hair">
          <color theme="3" tint="0.749961851863155"/>
        </bottom>
      </border>
    </dxf>
    <dxf>
      <font>
        <b val="0"/>
        <i val="0"/>
        <strike val="0"/>
        <outline val="0"/>
        <shadow val="0"/>
        <u val="none"/>
        <vertAlign val="baseline"/>
        <sz val="10"/>
        <color theme="1"/>
        <name val="Segoe UI"/>
        <family val="2"/>
        <scheme val="none"/>
      </font>
      <numFmt numFmtId="164" formatCode="0.0%"/>
      <fill>
        <patternFill patternType="solid">
          <fgColor indexed="64"/>
          <bgColor rgb="FFE9F2FB"/>
        </patternFill>
      </fill>
      <border diagonalUp="0" diagonalDown="0">
        <left style="hair">
          <color theme="3" tint="0.499984740745262"/>
        </left>
        <right style="hair">
          <color theme="3" tint="0.499984740745262"/>
        </right>
        <top style="hair">
          <color theme="3" tint="0.499984740745262"/>
        </top>
        <bottom style="hair">
          <color theme="3" tint="0.499984740745262"/>
        </bottom>
      </border>
    </dxf>
    <dxf>
      <font>
        <b val="0"/>
        <i val="0"/>
        <strike val="0"/>
        <outline val="0"/>
        <shadow val="0"/>
        <u val="none"/>
        <vertAlign val="baseline"/>
        <sz val="10"/>
        <color theme="1"/>
        <name val="Segoe UI"/>
        <family val="2"/>
        <scheme val="none"/>
      </font>
      <numFmt numFmtId="19" formatCode="dd/mm/yyyy"/>
      <fill>
        <patternFill patternType="solid">
          <fgColor indexed="64"/>
          <bgColor rgb="FFE9F2FB"/>
        </patternFill>
      </fill>
      <border diagonalUp="0" diagonalDown="0">
        <left style="hair">
          <color theme="3" tint="0.499984740745262"/>
        </left>
        <right style="hair">
          <color theme="3" tint="0.499984740745262"/>
        </right>
        <top style="hair">
          <color theme="3" tint="0.499984740745262"/>
        </top>
        <bottom style="hair">
          <color theme="3" tint="0.499984740745262"/>
        </bottom>
      </border>
    </dxf>
    <dxf>
      <font>
        <b val="0"/>
        <i val="0"/>
        <strike val="0"/>
        <outline val="0"/>
        <shadow val="0"/>
        <u val="none"/>
        <vertAlign val="baseline"/>
        <sz val="10"/>
        <color theme="1"/>
        <name val="Segoe UI"/>
        <family val="2"/>
        <scheme val="none"/>
      </font>
      <numFmt numFmtId="2" formatCode="0.00"/>
      <fill>
        <patternFill patternType="solid">
          <fgColor indexed="64"/>
          <bgColor rgb="FFE9F2FB"/>
        </patternFill>
      </fill>
      <border diagonalUp="0" diagonalDown="0">
        <left style="hair">
          <color theme="3" tint="0.499984740745262"/>
        </left>
        <right/>
        <top style="hair">
          <color theme="3" tint="0.499984740745262"/>
        </top>
        <bottom style="hair">
          <color theme="3" tint="0.499984740745262"/>
        </bottom>
      </border>
    </dxf>
    <dxf>
      <font>
        <b val="0"/>
        <i val="0"/>
        <strike val="0"/>
        <outline val="0"/>
        <shadow val="0"/>
        <u val="none"/>
        <vertAlign val="baseline"/>
        <sz val="10"/>
        <color theme="1"/>
        <name val="Segoe UI"/>
        <family val="2"/>
        <scheme val="none"/>
      </font>
      <numFmt numFmtId="2" formatCode="0.00"/>
      <fill>
        <patternFill patternType="solid">
          <fgColor indexed="64"/>
          <bgColor rgb="FFE9F2FB"/>
        </patternFill>
      </fill>
      <border diagonalUp="0" diagonalDown="0">
        <left style="hair">
          <color theme="3" tint="0.499984740745262"/>
        </left>
        <right style="hair">
          <color theme="3" tint="0.499984740745262"/>
        </right>
        <top style="hair">
          <color theme="3" tint="0.499984740745262"/>
        </top>
        <bottom style="hair">
          <color theme="3" tint="0.499984740745262"/>
        </bottom>
      </border>
    </dxf>
    <dxf>
      <font>
        <b val="0"/>
        <i val="0"/>
        <strike val="0"/>
        <outline val="0"/>
        <shadow val="0"/>
        <u val="none"/>
        <vertAlign val="baseline"/>
        <sz val="10"/>
        <color theme="1"/>
        <name val="Segoe UI"/>
        <family val="2"/>
        <scheme val="none"/>
      </font>
      <numFmt numFmtId="2" formatCode="0.00"/>
      <fill>
        <patternFill patternType="solid">
          <fgColor indexed="64"/>
          <bgColor rgb="FFE9F2FB"/>
        </patternFill>
      </fill>
      <border diagonalUp="0" diagonalDown="0">
        <left style="hair">
          <color theme="3" tint="0.499984740745262"/>
        </left>
        <right style="hair">
          <color theme="3" tint="0.499984740745262"/>
        </right>
        <top style="hair">
          <color theme="3" tint="0.499984740745262"/>
        </top>
        <bottom style="hair">
          <color theme="3" tint="0.499984740745262"/>
        </bottom>
      </border>
    </dxf>
    <dxf>
      <font>
        <b val="0"/>
        <i val="0"/>
        <strike val="0"/>
        <outline val="0"/>
        <shadow val="0"/>
        <u val="none"/>
        <vertAlign val="baseline"/>
        <sz val="10"/>
        <color theme="1"/>
        <name val="Segoe UI"/>
        <family val="2"/>
        <scheme val="none"/>
      </font>
      <numFmt numFmtId="2" formatCode="0.00"/>
      <fill>
        <patternFill patternType="solid">
          <fgColor indexed="64"/>
          <bgColor rgb="FFE9F2FB"/>
        </patternFill>
      </fill>
      <border diagonalUp="0" diagonalDown="0">
        <left style="hair">
          <color theme="3" tint="0.499984740745262"/>
        </left>
        <right style="hair">
          <color theme="3" tint="0.499984740745262"/>
        </right>
        <top style="hair">
          <color theme="3" tint="0.499984740745262"/>
        </top>
        <bottom style="hair">
          <color theme="3" tint="0.499984740745262"/>
        </bottom>
      </border>
    </dxf>
    <dxf>
      <font>
        <b val="0"/>
        <i val="0"/>
        <strike val="0"/>
        <outline val="0"/>
        <shadow val="0"/>
        <u val="none"/>
        <vertAlign val="baseline"/>
        <sz val="10"/>
        <color theme="1"/>
        <name val="Segoe UI"/>
        <family val="2"/>
        <scheme val="none"/>
      </font>
      <numFmt numFmtId="2" formatCode="0.00"/>
      <fill>
        <patternFill patternType="solid">
          <fgColor indexed="64"/>
          <bgColor rgb="FFE9F2FB"/>
        </patternFill>
      </fill>
      <border diagonalUp="0" diagonalDown="0">
        <left style="hair">
          <color theme="3" tint="0.499984740745262"/>
        </left>
        <right style="hair">
          <color theme="3" tint="0.499984740745262"/>
        </right>
        <top style="hair">
          <color theme="3" tint="0.499984740745262"/>
        </top>
        <bottom style="hair">
          <color theme="3" tint="0.499984740745262"/>
        </bottom>
      </border>
    </dxf>
    <dxf>
      <font>
        <b val="0"/>
        <i val="0"/>
        <strike val="0"/>
        <outline val="0"/>
        <shadow val="0"/>
        <u val="none"/>
        <vertAlign val="baseline"/>
        <sz val="10"/>
        <color theme="1"/>
        <name val="Segoe UI"/>
        <family val="2"/>
        <scheme val="none"/>
      </font>
      <numFmt numFmtId="0" formatCode="General"/>
      <fill>
        <patternFill patternType="solid">
          <fgColor indexed="64"/>
          <bgColor rgb="FFE9F2FB"/>
        </patternFill>
      </fill>
      <border diagonalUp="0" diagonalDown="0">
        <left style="hair">
          <color theme="3" tint="0.499984740745262"/>
        </left>
        <right style="hair">
          <color theme="3" tint="0.499984740745262"/>
        </right>
        <top style="hair">
          <color theme="3" tint="0.499984740745262"/>
        </top>
        <bottom style="hair">
          <color theme="3" tint="0.499984740745262"/>
        </bottom>
        <vertical style="hair">
          <color theme="3" tint="0.499984740745262"/>
        </vertical>
        <horizontal style="hair">
          <color theme="3" tint="0.499984740745262"/>
        </horizontal>
      </border>
    </dxf>
    <dxf>
      <font>
        <b val="0"/>
        <i val="0"/>
        <strike val="0"/>
        <outline val="0"/>
        <shadow val="0"/>
        <u val="none"/>
        <vertAlign val="baseline"/>
        <sz val="10"/>
        <color theme="1"/>
        <name val="Segoe UI"/>
        <family val="2"/>
        <scheme val="none"/>
      </font>
      <fill>
        <patternFill patternType="solid">
          <fgColor indexed="64"/>
          <bgColor rgb="FFE9F2FB"/>
        </patternFill>
      </fill>
      <border diagonalUp="0" diagonalDown="0">
        <left/>
        <right style="hair">
          <color theme="3" tint="0.499984740745262"/>
        </right>
        <top style="hair">
          <color theme="3" tint="0.499984740745262"/>
        </top>
        <bottom style="hair">
          <color theme="3" tint="0.499984740745262"/>
        </bottom>
        <vertical style="hair">
          <color theme="3" tint="0.499984740745262"/>
        </vertical>
        <horizontal style="hair">
          <color theme="3" tint="0.499984740745262"/>
        </horizontal>
      </border>
    </dxf>
    <dxf>
      <border>
        <top style="hair">
          <color theme="3" tint="0.499984740745262"/>
        </top>
      </border>
    </dxf>
    <dxf>
      <border diagonalUp="0" diagonalDown="0">
        <left style="hair">
          <color theme="3" tint="0.499984740745262"/>
        </left>
        <right style="hair">
          <color theme="3" tint="0.499984740745262"/>
        </right>
        <top style="hair">
          <color theme="3" tint="0.499984740745262"/>
        </top>
        <bottom style="hair">
          <color theme="3" tint="0.499984740745262"/>
        </bottom>
      </border>
    </dxf>
    <dxf>
      <font>
        <b val="0"/>
        <i val="0"/>
        <strike val="0"/>
        <outline val="0"/>
        <shadow val="0"/>
        <u val="none"/>
        <vertAlign val="baseline"/>
        <sz val="10"/>
        <color theme="1"/>
        <name val="Segoe UI"/>
        <family val="2"/>
        <scheme val="none"/>
      </font>
      <fill>
        <patternFill patternType="solid">
          <fgColor indexed="64"/>
          <bgColor rgb="FFE9F2FB"/>
        </patternFill>
      </fill>
    </dxf>
    <dxf>
      <border>
        <bottom style="hair">
          <color theme="3" tint="0.499984740745262"/>
        </bottom>
      </border>
    </dxf>
    <dxf>
      <font>
        <b val="0"/>
        <i val="0"/>
        <strike val="0"/>
        <outline val="0"/>
        <shadow val="0"/>
        <u val="none"/>
        <vertAlign val="baseline"/>
        <sz val="10"/>
        <color theme="1"/>
        <name val="Segoe UI"/>
        <family val="2"/>
        <scheme val="none"/>
      </font>
      <fill>
        <patternFill patternType="solid">
          <fgColor indexed="64"/>
          <bgColor theme="3" tint="0.499984740745262"/>
        </patternFill>
      </fill>
      <alignment horizontal="center" vertical="bottom" textRotation="0" wrapText="0" indent="0" justifyLastLine="0" shrinkToFit="0" readingOrder="0"/>
      <border diagonalUp="0" diagonalDown="0" outline="0">
        <left style="hair">
          <color theme="3" tint="0.499984740745262"/>
        </left>
        <right style="hair">
          <color theme="3" tint="0.499984740745262"/>
        </right>
        <top/>
        <bottom/>
      </border>
    </dxf>
    <dxf>
      <font>
        <sz val="10"/>
      </font>
    </dxf>
    <dxf>
      <font>
        <sz val="10"/>
      </font>
    </dxf>
    <dxf>
      <font>
        <name val="Segoe UI"/>
        <scheme val="none"/>
      </font>
    </dxf>
    <dxf>
      <font>
        <name val="Segoe UI"/>
        <scheme val="none"/>
      </font>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alignment horizontal="center"/>
    </dxf>
    <dxf>
      <alignment horizontal="center"/>
    </dxf>
    <dxf>
      <border diagonalUp="0" diagonalDown="0">
        <left style="hair">
          <color theme="3" tint="0.749961851863155"/>
        </left>
        <right style="hair">
          <color theme="3" tint="0.749961851863155"/>
        </right>
        <top style="hair">
          <color theme="3" tint="0.749961851863155"/>
        </top>
        <bottom style="hair">
          <color theme="3" tint="0.749961851863155"/>
        </bottom>
      </border>
    </dxf>
    <dxf>
      <font>
        <b val="0"/>
        <i val="0"/>
        <strike val="0"/>
        <outline val="0"/>
        <shadow val="0"/>
        <u val="none"/>
        <vertAlign val="baseline"/>
        <sz val="11"/>
        <color theme="1" tint="4.9989318521683403E-2"/>
        <name val="Segoe UI"/>
        <family val="2"/>
        <scheme val="none"/>
      </font>
      <fill>
        <patternFill patternType="solid">
          <fgColor indexed="64"/>
          <bgColor theme="3" tint="0.749961851863155"/>
        </patternFill>
      </fill>
    </dxf>
    <dxf>
      <fill>
        <patternFill>
          <fgColor theme="3" tint="0.89996032593768116"/>
          <bgColor theme="0"/>
        </patternFill>
      </fill>
    </dxf>
    <dxf>
      <fill>
        <patternFill>
          <bgColor theme="3" tint="0.89996032593768116"/>
        </patternFill>
      </fill>
    </dxf>
  </dxfs>
  <tableStyles count="2" defaultTableStyle="TableStyleMedium2" defaultPivotStyle="PivotStyleLight16">
    <tableStyle name="Slicer Style 1" pivot="0" table="0" count="1" xr9:uid="{C94AE07B-13AA-428C-90DB-020962BB7A5D}">
      <tableStyleElement type="wholeTable" dxfId="1370"/>
    </tableStyle>
    <tableStyle name="Slicer Style 2" pivot="0" table="0" count="1" xr9:uid="{EACA1E84-EB28-4743-A5E2-C77A56EA7AD8}">
      <tableStyleElement type="wholeTable" dxfId="1369"/>
    </tableStyle>
  </tableStyles>
  <colors>
    <mruColors>
      <color rgb="FFF1F7FD"/>
      <color rgb="FF156082"/>
      <color rgb="FFE9F2FB"/>
      <color rgb="FF1D86B5"/>
      <color rgb="FFEBF3FB"/>
      <color rgb="FFF1F3F9"/>
      <color rgb="FFE3FEFD"/>
      <color rgb="FF1A78A2"/>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0" i="0" u="none" strike="noStrike" baseline="0">
                <a:solidFill>
                  <a:schemeClr val="tx1">
                    <a:lumMod val="95000"/>
                    <a:lumOff val="5000"/>
                  </a:schemeClr>
                </a:solidFill>
                <a:latin typeface="Segoe UI" panose="020B0502040204020203" pitchFamily="34" charset="0"/>
                <a:cs typeface="Segoe UI" panose="020B0502040204020203" pitchFamily="34" charset="0"/>
              </a:rPr>
              <a:t>Revenue and Profit by Product Category</a:t>
            </a:r>
            <a:endParaRPr lang="en-GB" sz="1800" b="0">
              <a:solidFill>
                <a:schemeClr val="tx1">
                  <a:lumMod val="95000"/>
                  <a:lumOff val="5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1"/>
          <c:order val="1"/>
          <c:tx>
            <c:strRef>
              <c:f>'Revenue and Profit by Product S'!$D$1</c:f>
              <c:strCache>
                <c:ptCount val="1"/>
                <c:pt idx="0">
                  <c:v>revenue</c:v>
                </c:pt>
              </c:strCache>
            </c:strRef>
          </c:tx>
          <c:spPr>
            <a:solidFill>
              <a:srgbClr val="1A78A2"/>
            </a:solidFill>
            <a:ln>
              <a:noFill/>
            </a:ln>
            <a:effectLst/>
          </c:spPr>
          <c:invertIfNegative val="0"/>
          <c:cat>
            <c:multiLvlStrRef>
              <c:f>'Revenue and Profit by Product S'!$A$2:$B$18</c:f>
              <c:multiLvlStrCache>
                <c:ptCount val="17"/>
                <c:lvl>
                  <c:pt idx="0">
                    <c:v>Road Bikes</c:v>
                  </c:pt>
                  <c:pt idx="1">
                    <c:v>Mountain Bikes</c:v>
                  </c:pt>
                  <c:pt idx="2">
                    <c:v>Touring Bikes</c:v>
                  </c:pt>
                  <c:pt idx="3">
                    <c:v>Helmets</c:v>
                  </c:pt>
                  <c:pt idx="4">
                    <c:v>Tires and Tubes</c:v>
                  </c:pt>
                  <c:pt idx="5">
                    <c:v>Jerseys</c:v>
                  </c:pt>
                  <c:pt idx="6">
                    <c:v>Shorts</c:v>
                  </c:pt>
                  <c:pt idx="7">
                    <c:v>Bottles and Cages</c:v>
                  </c:pt>
                  <c:pt idx="8">
                    <c:v>Fenders</c:v>
                  </c:pt>
                  <c:pt idx="9">
                    <c:v>Hydration Packs</c:v>
                  </c:pt>
                  <c:pt idx="10">
                    <c:v>Vests</c:v>
                  </c:pt>
                  <c:pt idx="11">
                    <c:v>Gloves</c:v>
                  </c:pt>
                  <c:pt idx="12">
                    <c:v>Caps</c:v>
                  </c:pt>
                  <c:pt idx="13">
                    <c:v>Bike Racks</c:v>
                  </c:pt>
                  <c:pt idx="14">
                    <c:v>Bike Stands</c:v>
                  </c:pt>
                  <c:pt idx="15">
                    <c:v>Cleaners</c:v>
                  </c:pt>
                  <c:pt idx="16">
                    <c:v>Socks</c:v>
                  </c:pt>
                </c:lvl>
                <c:lvl>
                  <c:pt idx="0">
                    <c:v>Bikes</c:v>
                  </c:pt>
                  <c:pt idx="1">
                    <c:v>Bikes</c:v>
                  </c:pt>
                  <c:pt idx="2">
                    <c:v>Bikes</c:v>
                  </c:pt>
                  <c:pt idx="3">
                    <c:v>Accessories</c:v>
                  </c:pt>
                  <c:pt idx="4">
                    <c:v>Accessories</c:v>
                  </c:pt>
                  <c:pt idx="5">
                    <c:v>Clothing</c:v>
                  </c:pt>
                  <c:pt idx="6">
                    <c:v>Clothing</c:v>
                  </c:pt>
                  <c:pt idx="7">
                    <c:v>Accessories</c:v>
                  </c:pt>
                  <c:pt idx="8">
                    <c:v>Accessories</c:v>
                  </c:pt>
                  <c:pt idx="9">
                    <c:v>Accessories</c:v>
                  </c:pt>
                  <c:pt idx="10">
                    <c:v>Clothing</c:v>
                  </c:pt>
                  <c:pt idx="11">
                    <c:v>Clothing</c:v>
                  </c:pt>
                  <c:pt idx="12">
                    <c:v>Clothing</c:v>
                  </c:pt>
                  <c:pt idx="13">
                    <c:v>Accessories</c:v>
                  </c:pt>
                  <c:pt idx="14">
                    <c:v>Accessories</c:v>
                  </c:pt>
                  <c:pt idx="15">
                    <c:v>Accessories</c:v>
                  </c:pt>
                  <c:pt idx="16">
                    <c:v>Clothing</c:v>
                  </c:pt>
                </c:lvl>
              </c:multiLvlStrCache>
            </c:multiLvlStrRef>
          </c:cat>
          <c:val>
            <c:numRef>
              <c:f>'Revenue and Profit by Product S'!$D$2:$D$18</c:f>
              <c:numCache>
                <c:formatCode>0.00</c:formatCode>
                <c:ptCount val="17"/>
                <c:pt idx="0">
                  <c:v>33363061</c:v>
                </c:pt>
                <c:pt idx="1">
                  <c:v>21123526</c:v>
                </c:pt>
                <c:pt idx="2">
                  <c:v>7295547</c:v>
                </c:pt>
                <c:pt idx="3">
                  <c:v>5741081</c:v>
                </c:pt>
                <c:pt idx="4">
                  <c:v>4670902</c:v>
                </c:pt>
                <c:pt idx="5">
                  <c:v>4113742</c:v>
                </c:pt>
                <c:pt idx="6">
                  <c:v>1740710</c:v>
                </c:pt>
                <c:pt idx="7">
                  <c:v>1409174</c:v>
                </c:pt>
                <c:pt idx="8">
                  <c:v>1245733</c:v>
                </c:pt>
                <c:pt idx="9">
                  <c:v>990406</c:v>
                </c:pt>
                <c:pt idx="10">
                  <c:v>949063</c:v>
                </c:pt>
                <c:pt idx="11">
                  <c:v>871419</c:v>
                </c:pt>
                <c:pt idx="12">
                  <c:v>548777</c:v>
                </c:pt>
                <c:pt idx="13">
                  <c:v>517800</c:v>
                </c:pt>
                <c:pt idx="14">
                  <c:v>344075</c:v>
                </c:pt>
                <c:pt idx="15">
                  <c:v>198821</c:v>
                </c:pt>
                <c:pt idx="16">
                  <c:v>147171</c:v>
                </c:pt>
              </c:numCache>
            </c:numRef>
          </c:val>
          <c:extLst>
            <c:ext xmlns:c16="http://schemas.microsoft.com/office/drawing/2014/chart" uri="{C3380CC4-5D6E-409C-BE32-E72D297353CC}">
              <c16:uniqueId val="{00000001-6D23-4F9E-87D7-9CE0DCFB8E78}"/>
            </c:ext>
          </c:extLst>
        </c:ser>
        <c:ser>
          <c:idx val="2"/>
          <c:order val="2"/>
          <c:tx>
            <c:strRef>
              <c:f>'Revenue and Profit by Product S'!$E$1</c:f>
              <c:strCache>
                <c:ptCount val="1"/>
                <c:pt idx="0">
                  <c:v>profit</c:v>
                </c:pt>
              </c:strCache>
            </c:strRef>
          </c:tx>
          <c:spPr>
            <a:solidFill>
              <a:srgbClr val="002060"/>
            </a:solidFill>
            <a:ln>
              <a:noFill/>
            </a:ln>
            <a:effectLst/>
          </c:spPr>
          <c:invertIfNegative val="0"/>
          <c:cat>
            <c:multiLvlStrRef>
              <c:f>'Revenue and Profit by Product S'!$A$2:$B$18</c:f>
              <c:multiLvlStrCache>
                <c:ptCount val="17"/>
                <c:lvl>
                  <c:pt idx="0">
                    <c:v>Road Bikes</c:v>
                  </c:pt>
                  <c:pt idx="1">
                    <c:v>Mountain Bikes</c:v>
                  </c:pt>
                  <c:pt idx="2">
                    <c:v>Touring Bikes</c:v>
                  </c:pt>
                  <c:pt idx="3">
                    <c:v>Helmets</c:v>
                  </c:pt>
                  <c:pt idx="4">
                    <c:v>Tires and Tubes</c:v>
                  </c:pt>
                  <c:pt idx="5">
                    <c:v>Jerseys</c:v>
                  </c:pt>
                  <c:pt idx="6">
                    <c:v>Shorts</c:v>
                  </c:pt>
                  <c:pt idx="7">
                    <c:v>Bottles and Cages</c:v>
                  </c:pt>
                  <c:pt idx="8">
                    <c:v>Fenders</c:v>
                  </c:pt>
                  <c:pt idx="9">
                    <c:v>Hydration Packs</c:v>
                  </c:pt>
                  <c:pt idx="10">
                    <c:v>Vests</c:v>
                  </c:pt>
                  <c:pt idx="11">
                    <c:v>Gloves</c:v>
                  </c:pt>
                  <c:pt idx="12">
                    <c:v>Caps</c:v>
                  </c:pt>
                  <c:pt idx="13">
                    <c:v>Bike Racks</c:v>
                  </c:pt>
                  <c:pt idx="14">
                    <c:v>Bike Stands</c:v>
                  </c:pt>
                  <c:pt idx="15">
                    <c:v>Cleaners</c:v>
                  </c:pt>
                  <c:pt idx="16">
                    <c:v>Socks</c:v>
                  </c:pt>
                </c:lvl>
                <c:lvl>
                  <c:pt idx="0">
                    <c:v>Bikes</c:v>
                  </c:pt>
                  <c:pt idx="1">
                    <c:v>Bikes</c:v>
                  </c:pt>
                  <c:pt idx="2">
                    <c:v>Bikes</c:v>
                  </c:pt>
                  <c:pt idx="3">
                    <c:v>Accessories</c:v>
                  </c:pt>
                  <c:pt idx="4">
                    <c:v>Accessories</c:v>
                  </c:pt>
                  <c:pt idx="5">
                    <c:v>Clothing</c:v>
                  </c:pt>
                  <c:pt idx="6">
                    <c:v>Clothing</c:v>
                  </c:pt>
                  <c:pt idx="7">
                    <c:v>Accessories</c:v>
                  </c:pt>
                  <c:pt idx="8">
                    <c:v>Accessories</c:v>
                  </c:pt>
                  <c:pt idx="9">
                    <c:v>Accessories</c:v>
                  </c:pt>
                  <c:pt idx="10">
                    <c:v>Clothing</c:v>
                  </c:pt>
                  <c:pt idx="11">
                    <c:v>Clothing</c:v>
                  </c:pt>
                  <c:pt idx="12">
                    <c:v>Clothing</c:v>
                  </c:pt>
                  <c:pt idx="13">
                    <c:v>Accessories</c:v>
                  </c:pt>
                  <c:pt idx="14">
                    <c:v>Accessories</c:v>
                  </c:pt>
                  <c:pt idx="15">
                    <c:v>Accessories</c:v>
                  </c:pt>
                  <c:pt idx="16">
                    <c:v>Clothing</c:v>
                  </c:pt>
                </c:lvl>
              </c:multiLvlStrCache>
            </c:multiLvlStrRef>
          </c:cat>
          <c:val>
            <c:numRef>
              <c:f>'Revenue and Profit by Product S'!$E$2:$E$18</c:f>
              <c:numCache>
                <c:formatCode>0.00</c:formatCode>
                <c:ptCount val="17"/>
                <c:pt idx="0">
                  <c:v>10078875</c:v>
                </c:pt>
                <c:pt idx="1">
                  <c:v>8160463</c:v>
                </c:pt>
                <c:pt idx="2">
                  <c:v>2279938</c:v>
                </c:pt>
                <c:pt idx="3">
                  <c:v>3380203</c:v>
                </c:pt>
                <c:pt idx="4">
                  <c:v>2727713</c:v>
                </c:pt>
                <c:pt idx="5">
                  <c:v>603568</c:v>
                </c:pt>
                <c:pt idx="6">
                  <c:v>1034342</c:v>
                </c:pt>
                <c:pt idx="7">
                  <c:v>810598</c:v>
                </c:pt>
                <c:pt idx="8">
                  <c:v>748914</c:v>
                </c:pt>
                <c:pt idx="9">
                  <c:v>572668</c:v>
                </c:pt>
                <c:pt idx="10">
                  <c:v>518791</c:v>
                </c:pt>
                <c:pt idx="11">
                  <c:v>511654</c:v>
                </c:pt>
                <c:pt idx="12">
                  <c:v>77921</c:v>
                </c:pt>
                <c:pt idx="13">
                  <c:v>304455</c:v>
                </c:pt>
                <c:pt idx="14">
                  <c:v>201935</c:v>
                </c:pt>
                <c:pt idx="15">
                  <c:v>115891</c:v>
                </c:pt>
                <c:pt idx="16">
                  <c:v>93171</c:v>
                </c:pt>
              </c:numCache>
            </c:numRef>
          </c:val>
          <c:extLst>
            <c:ext xmlns:c16="http://schemas.microsoft.com/office/drawing/2014/chart" uri="{C3380CC4-5D6E-409C-BE32-E72D297353CC}">
              <c16:uniqueId val="{00000002-6D23-4F9E-87D7-9CE0DCFB8E78}"/>
            </c:ext>
          </c:extLst>
        </c:ser>
        <c:dLbls>
          <c:showLegendKey val="0"/>
          <c:showVal val="0"/>
          <c:showCatName val="0"/>
          <c:showSerName val="0"/>
          <c:showPercent val="0"/>
          <c:showBubbleSize val="0"/>
        </c:dLbls>
        <c:gapWidth val="219"/>
        <c:overlap val="-27"/>
        <c:axId val="133755184"/>
        <c:axId val="133762384"/>
        <c:extLst>
          <c:ext xmlns:c15="http://schemas.microsoft.com/office/drawing/2012/chart" uri="{02D57815-91ED-43cb-92C2-25804820EDAC}">
            <c15:filteredBarSeries>
              <c15:ser>
                <c:idx val="0"/>
                <c:order val="0"/>
                <c:tx>
                  <c:strRef>
                    <c:extLst>
                      <c:ext uri="{02D57815-91ED-43cb-92C2-25804820EDAC}">
                        <c15:formulaRef>
                          <c15:sqref>'Revenue and Profit by Product S'!$C$1</c15:sqref>
                        </c15:formulaRef>
                      </c:ext>
                    </c:extLst>
                    <c:strCache>
                      <c:ptCount val="1"/>
                      <c:pt idx="0">
                        <c:v>units</c:v>
                      </c:pt>
                    </c:strCache>
                  </c:strRef>
                </c:tx>
                <c:spPr>
                  <a:solidFill>
                    <a:schemeClr val="accent1">
                      <a:lumMod val="60000"/>
                      <a:lumOff val="40000"/>
                    </a:schemeClr>
                  </a:solidFill>
                  <a:ln>
                    <a:noFill/>
                  </a:ln>
                  <a:effectLst/>
                </c:spPr>
                <c:invertIfNegative val="0"/>
                <c:cat>
                  <c:multiLvlStrRef>
                    <c:extLst>
                      <c:ext uri="{02D57815-91ED-43cb-92C2-25804820EDAC}">
                        <c15:formulaRef>
                          <c15:sqref>'Revenue and Profit by Product S'!$A$2:$B$18</c15:sqref>
                        </c15:formulaRef>
                      </c:ext>
                    </c:extLst>
                    <c:multiLvlStrCache>
                      <c:ptCount val="17"/>
                      <c:lvl>
                        <c:pt idx="0">
                          <c:v>Road Bikes</c:v>
                        </c:pt>
                        <c:pt idx="1">
                          <c:v>Mountain Bikes</c:v>
                        </c:pt>
                        <c:pt idx="2">
                          <c:v>Touring Bikes</c:v>
                        </c:pt>
                        <c:pt idx="3">
                          <c:v>Helmets</c:v>
                        </c:pt>
                        <c:pt idx="4">
                          <c:v>Tires and Tubes</c:v>
                        </c:pt>
                        <c:pt idx="5">
                          <c:v>Jerseys</c:v>
                        </c:pt>
                        <c:pt idx="6">
                          <c:v>Shorts</c:v>
                        </c:pt>
                        <c:pt idx="7">
                          <c:v>Bottles and Cages</c:v>
                        </c:pt>
                        <c:pt idx="8">
                          <c:v>Fenders</c:v>
                        </c:pt>
                        <c:pt idx="9">
                          <c:v>Hydration Packs</c:v>
                        </c:pt>
                        <c:pt idx="10">
                          <c:v>Vests</c:v>
                        </c:pt>
                        <c:pt idx="11">
                          <c:v>Gloves</c:v>
                        </c:pt>
                        <c:pt idx="12">
                          <c:v>Caps</c:v>
                        </c:pt>
                        <c:pt idx="13">
                          <c:v>Bike Racks</c:v>
                        </c:pt>
                        <c:pt idx="14">
                          <c:v>Bike Stands</c:v>
                        </c:pt>
                        <c:pt idx="15">
                          <c:v>Cleaners</c:v>
                        </c:pt>
                        <c:pt idx="16">
                          <c:v>Socks</c:v>
                        </c:pt>
                      </c:lvl>
                      <c:lvl>
                        <c:pt idx="0">
                          <c:v>Bikes</c:v>
                        </c:pt>
                        <c:pt idx="1">
                          <c:v>Bikes</c:v>
                        </c:pt>
                        <c:pt idx="2">
                          <c:v>Bikes</c:v>
                        </c:pt>
                        <c:pt idx="3">
                          <c:v>Accessories</c:v>
                        </c:pt>
                        <c:pt idx="4">
                          <c:v>Accessories</c:v>
                        </c:pt>
                        <c:pt idx="5">
                          <c:v>Clothing</c:v>
                        </c:pt>
                        <c:pt idx="6">
                          <c:v>Clothing</c:v>
                        </c:pt>
                        <c:pt idx="7">
                          <c:v>Accessories</c:v>
                        </c:pt>
                        <c:pt idx="8">
                          <c:v>Accessories</c:v>
                        </c:pt>
                        <c:pt idx="9">
                          <c:v>Accessories</c:v>
                        </c:pt>
                        <c:pt idx="10">
                          <c:v>Clothing</c:v>
                        </c:pt>
                        <c:pt idx="11">
                          <c:v>Clothing</c:v>
                        </c:pt>
                        <c:pt idx="12">
                          <c:v>Clothing</c:v>
                        </c:pt>
                        <c:pt idx="13">
                          <c:v>Accessories</c:v>
                        </c:pt>
                        <c:pt idx="14">
                          <c:v>Accessories</c:v>
                        </c:pt>
                        <c:pt idx="15">
                          <c:v>Accessories</c:v>
                        </c:pt>
                        <c:pt idx="16">
                          <c:v>Clothing</c:v>
                        </c:pt>
                      </c:lvl>
                    </c:multiLvlStrCache>
                  </c:multiLvlStrRef>
                </c:cat>
                <c:val>
                  <c:numRef>
                    <c:extLst>
                      <c:ext uri="{02D57815-91ED-43cb-92C2-25804820EDAC}">
                        <c15:formulaRef>
                          <c15:sqref>'Revenue and Profit by Product S'!$C$2:$C$18</c15:sqref>
                        </c15:formulaRef>
                      </c:ext>
                    </c:extLst>
                    <c:numCache>
                      <c:formatCode>0.00</c:formatCode>
                      <c:ptCount val="17"/>
                      <c:pt idx="0">
                        <c:v>19771</c:v>
                      </c:pt>
                      <c:pt idx="1">
                        <c:v>11992</c:v>
                      </c:pt>
                      <c:pt idx="2">
                        <c:v>4648</c:v>
                      </c:pt>
                      <c:pt idx="3">
                        <c:v>181606</c:v>
                      </c:pt>
                      <c:pt idx="4">
                        <c:v>514051</c:v>
                      </c:pt>
                      <c:pt idx="5">
                        <c:v>88125</c:v>
                      </c:pt>
                      <c:pt idx="6">
                        <c:v>27168</c:v>
                      </c:pt>
                      <c:pt idx="7">
                        <c:v>241726</c:v>
                      </c:pt>
                      <c:pt idx="8">
                        <c:v>62138</c:v>
                      </c:pt>
                      <c:pt idx="9">
                        <c:v>19914</c:v>
                      </c:pt>
                      <c:pt idx="10">
                        <c:v>14526</c:v>
                      </c:pt>
                      <c:pt idx="11">
                        <c:v>39978</c:v>
                      </c:pt>
                      <c:pt idx="12">
                        <c:v>67268</c:v>
                      </c:pt>
                      <c:pt idx="13">
                        <c:v>4741</c:v>
                      </c:pt>
                      <c:pt idx="14">
                        <c:v>2412</c:v>
                      </c:pt>
                      <c:pt idx="15">
                        <c:v>27574</c:v>
                      </c:pt>
                      <c:pt idx="16">
                        <c:v>17678</c:v>
                      </c:pt>
                    </c:numCache>
                  </c:numRef>
                </c:val>
                <c:extLst>
                  <c:ext xmlns:c16="http://schemas.microsoft.com/office/drawing/2014/chart" uri="{C3380CC4-5D6E-409C-BE32-E72D297353CC}">
                    <c16:uniqueId val="{00000000-6D23-4F9E-87D7-9CE0DCFB8E78}"/>
                  </c:ext>
                </c:extLst>
              </c15:ser>
            </c15:filteredBarSeries>
          </c:ext>
        </c:extLst>
      </c:barChart>
      <c:catAx>
        <c:axId val="13375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133762384"/>
        <c:crossesAt val="0"/>
        <c:auto val="1"/>
        <c:lblAlgn val="ctr"/>
        <c:lblOffset val="100"/>
        <c:noMultiLvlLbl val="1"/>
      </c:catAx>
      <c:valAx>
        <c:axId val="133762384"/>
        <c:scaling>
          <c:orientation val="minMax"/>
        </c:scaling>
        <c:delete val="0"/>
        <c:axPos val="l"/>
        <c:majorGridlines>
          <c:spPr>
            <a:ln w="9525" cap="rnd" cmpd="sng" algn="ctr">
              <a:solidFill>
                <a:schemeClr val="tx1">
                  <a:lumMod val="15000"/>
                  <a:lumOff val="85000"/>
                </a:schemeClr>
              </a:solidFill>
              <a:prstDash val="sysDot"/>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133755184"/>
        <c:crosses val="autoZero"/>
        <c:crossBetween val="between"/>
      </c:valAx>
      <c:spPr>
        <a:solidFill>
          <a:srgbClr val="F1F3F9"/>
        </a:solidFill>
        <a:ln>
          <a:noFill/>
        </a:ln>
        <a:effectLst/>
      </c:spPr>
    </c:plotArea>
    <c:legend>
      <c:legendPos val="t"/>
      <c:layout>
        <c:manualLayout>
          <c:xMode val="edge"/>
          <c:yMode val="edge"/>
          <c:x val="0.40977630637079454"/>
          <c:y val="9.6639768223103037E-2"/>
          <c:w val="0.18376848055283412"/>
          <c:h val="4.963270032422417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[Excel_Project.xlsx]Revenue by Age Group and Gender!PivotTable1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sz="1800" b="1" i="0" u="none" strike="noStrike" kern="1200" spc="0" baseline="0">
                <a:solidFill>
                  <a:schemeClr val="tx1">
                    <a:lumMod val="95000"/>
                    <a:lumOff val="5000"/>
                  </a:schemeClr>
                </a:solidFill>
                <a:latin typeface="Selawik Semibold" panose="020F0502020204030204" pitchFamily="34" charset="0"/>
                <a:ea typeface="+mn-ea"/>
                <a:cs typeface="+mn-cs"/>
              </a:rPr>
              <a:t>Revenue by Age Group and </a:t>
            </a:r>
            <a:r>
              <a:rPr lang="en-GB" sz="1800" b="1">
                <a:solidFill>
                  <a:schemeClr val="tx1">
                    <a:lumMod val="95000"/>
                    <a:lumOff val="5000"/>
                  </a:schemeClr>
                </a:solidFill>
                <a:latin typeface="Selawik Semibold" panose="020F0502020204030204" pitchFamily="34" charset="0"/>
                <a:ea typeface="+mn-ea"/>
                <a:cs typeface="+mn-cs"/>
              </a:rPr>
              <a:t>Gender</a:t>
            </a:r>
            <a:endParaRPr lang="en-GB" sz="1800" b="1">
              <a:solidFill>
                <a:schemeClr val="tx1">
                  <a:lumMod val="95000"/>
                  <a:lumOff val="5000"/>
                </a:schemeClr>
              </a:solidFill>
              <a:latin typeface="Selawik Semibold" panose="020F0502020204030204" pitchFamily="34" charset="0"/>
            </a:endParaRPr>
          </a:p>
        </c:rich>
      </c:tx>
      <c:layout>
        <c:manualLayout>
          <c:xMode val="edge"/>
          <c:yMode val="edge"/>
          <c:x val="0.3062485209222609"/>
          <c:y val="2.5632488873673403E-2"/>
        </c:manualLayout>
      </c:layout>
      <c:overlay val="0"/>
      <c:spPr>
        <a:noFill/>
        <a:ln w="1270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78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75748860457963E-2"/>
          <c:y val="0.15215879678892943"/>
          <c:w val="0.64721602781403931"/>
          <c:h val="0.78129207940648382"/>
        </c:manualLayout>
      </c:layout>
      <c:barChart>
        <c:barDir val="col"/>
        <c:grouping val="clustered"/>
        <c:varyColors val="0"/>
        <c:ser>
          <c:idx val="0"/>
          <c:order val="0"/>
          <c:tx>
            <c:strRef>
              <c:f>'Revenue by Age Group and Gender'!$B$26:$B$27</c:f>
              <c:strCache>
                <c:ptCount val="1"/>
                <c:pt idx="0">
                  <c:v>F</c:v>
                </c:pt>
              </c:strCache>
            </c:strRef>
          </c:tx>
          <c:spPr>
            <a:solidFill>
              <a:srgbClr val="1A78A2"/>
            </a:solidFill>
            <a:ln>
              <a:noFill/>
            </a:ln>
            <a:effectLst/>
          </c:spPr>
          <c:invertIfNegative val="0"/>
          <c:cat>
            <c:strRef>
              <c:f>'Revenue by Age Group and Gender'!$A$28:$A$32</c:f>
              <c:strCache>
                <c:ptCount val="4"/>
                <c:pt idx="0">
                  <c:v>Youth (&lt;25)</c:v>
                </c:pt>
                <c:pt idx="1">
                  <c:v>Young Adults (25-34)</c:v>
                </c:pt>
                <c:pt idx="2">
                  <c:v>Adults (35-64)</c:v>
                </c:pt>
                <c:pt idx="3">
                  <c:v>Seniors (64+)</c:v>
                </c:pt>
              </c:strCache>
            </c:strRef>
          </c:cat>
          <c:val>
            <c:numRef>
              <c:f>'Revenue by Age Group and Gender'!$B$28:$B$32</c:f>
              <c:numCache>
                <c:formatCode>0.00</c:formatCode>
                <c:ptCount val="4"/>
                <c:pt idx="0">
                  <c:v>5342158</c:v>
                </c:pt>
                <c:pt idx="1">
                  <c:v>15194242</c:v>
                </c:pt>
                <c:pt idx="2">
                  <c:v>21269149</c:v>
                </c:pt>
                <c:pt idx="3">
                  <c:v>130050</c:v>
                </c:pt>
              </c:numCache>
            </c:numRef>
          </c:val>
          <c:extLst>
            <c:ext xmlns:c16="http://schemas.microsoft.com/office/drawing/2014/chart" uri="{C3380CC4-5D6E-409C-BE32-E72D297353CC}">
              <c16:uniqueId val="{00000000-DC0D-4AE6-9563-5BA3EFED8223}"/>
            </c:ext>
          </c:extLst>
        </c:ser>
        <c:ser>
          <c:idx val="1"/>
          <c:order val="1"/>
          <c:tx>
            <c:strRef>
              <c:f>'Revenue by Age Group and Gender'!$C$26:$C$27</c:f>
              <c:strCache>
                <c:ptCount val="1"/>
                <c:pt idx="0">
                  <c:v>M</c:v>
                </c:pt>
              </c:strCache>
            </c:strRef>
          </c:tx>
          <c:spPr>
            <a:solidFill>
              <a:schemeClr val="tx2">
                <a:lumMod val="90000"/>
                <a:lumOff val="10000"/>
              </a:schemeClr>
            </a:solidFill>
            <a:ln>
              <a:noFill/>
            </a:ln>
            <a:effectLst/>
          </c:spPr>
          <c:invertIfNegative val="0"/>
          <c:cat>
            <c:strRef>
              <c:f>'Revenue by Age Group and Gender'!$A$28:$A$32</c:f>
              <c:strCache>
                <c:ptCount val="4"/>
                <c:pt idx="0">
                  <c:v>Youth (&lt;25)</c:v>
                </c:pt>
                <c:pt idx="1">
                  <c:v>Young Adults (25-34)</c:v>
                </c:pt>
                <c:pt idx="2">
                  <c:v>Adults (35-64)</c:v>
                </c:pt>
                <c:pt idx="3">
                  <c:v>Seniors (64+)</c:v>
                </c:pt>
              </c:strCache>
            </c:strRef>
          </c:cat>
          <c:val>
            <c:numRef>
              <c:f>'Revenue by Age Group and Gender'!$C$28:$C$32</c:f>
              <c:numCache>
                <c:formatCode>0.00</c:formatCode>
                <c:ptCount val="4"/>
                <c:pt idx="0">
                  <c:v>6381041</c:v>
                </c:pt>
                <c:pt idx="1">
                  <c:v>15461372</c:v>
                </c:pt>
                <c:pt idx="2">
                  <c:v>21315004</c:v>
                </c:pt>
                <c:pt idx="3">
                  <c:v>177992</c:v>
                </c:pt>
              </c:numCache>
            </c:numRef>
          </c:val>
          <c:extLst>
            <c:ext xmlns:c16="http://schemas.microsoft.com/office/drawing/2014/chart" uri="{C3380CC4-5D6E-409C-BE32-E72D297353CC}">
              <c16:uniqueId val="{00000002-DC0D-4AE6-9563-5BA3EFED8223}"/>
            </c:ext>
          </c:extLst>
        </c:ser>
        <c:dLbls>
          <c:showLegendKey val="0"/>
          <c:showVal val="0"/>
          <c:showCatName val="0"/>
          <c:showSerName val="0"/>
          <c:showPercent val="0"/>
          <c:showBubbleSize val="0"/>
        </c:dLbls>
        <c:gapWidth val="120"/>
        <c:overlap val="-24"/>
        <c:axId val="133756624"/>
        <c:axId val="133747984"/>
      </c:barChart>
      <c:catAx>
        <c:axId val="13375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133747984"/>
        <c:crosses val="autoZero"/>
        <c:auto val="1"/>
        <c:lblAlgn val="ctr"/>
        <c:lblOffset val="100"/>
        <c:noMultiLvlLbl val="0"/>
      </c:catAx>
      <c:valAx>
        <c:axId val="133747984"/>
        <c:scaling>
          <c:orientation val="minMax"/>
        </c:scaling>
        <c:delete val="0"/>
        <c:axPos val="l"/>
        <c:majorGridlines>
          <c:spPr>
            <a:ln w="9525" cap="flat" cmpd="sng" algn="ctr">
              <a:solidFill>
                <a:schemeClr val="tx2">
                  <a:lumMod val="25000"/>
                  <a:lumOff val="7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000">
                    <a:latin typeface="Segoe UI" panose="020B0502040204020203" pitchFamily="34" charset="0"/>
                    <a:cs typeface="Segoe UI" panose="020B0502040204020203" pitchFamily="34" charset="0"/>
                  </a:rPr>
                  <a:t>Revenue (USD, millions)</a:t>
                </a:r>
              </a:p>
            </c:rich>
          </c:tx>
          <c:layout>
            <c:manualLayout>
              <c:xMode val="edge"/>
              <c:yMode val="edge"/>
              <c:x val="1.191977646299874E-2"/>
              <c:y val="0.39700697134109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133756624"/>
        <c:crosses val="autoZero"/>
        <c:crossBetween val="between"/>
      </c:valAx>
      <c:spPr>
        <a:solidFill>
          <a:srgbClr val="F1F3F9"/>
        </a:solidFill>
        <a:ln>
          <a:noFill/>
        </a:ln>
        <a:effectLst/>
      </c:spPr>
    </c:plotArea>
    <c:legend>
      <c:legendPos val="t"/>
      <c:layout>
        <c:manualLayout>
          <c:xMode val="edge"/>
          <c:yMode val="edge"/>
          <c:x val="0.42411077426065719"/>
          <c:y val="0.14308147894556658"/>
          <c:w val="0.13470892226125378"/>
          <c:h val="5.9392502567613831E-2"/>
        </c:manualLayout>
      </c:layout>
      <c:overlay val="0"/>
      <c:spPr>
        <a:noFill/>
        <a:ln>
          <a:noFill/>
        </a:ln>
        <a:effectLst/>
      </c:spPr>
      <c:txPr>
        <a:bodyPr rot="0" spcFirstLastPara="1" vertOverflow="ellipsis" vert="horz" wrap="square" anchor="t" anchorCtr="0"/>
        <a:lstStyle/>
        <a:p>
          <a:pPr>
            <a:defRPr sz="1000" b="0" i="0" u="none" strike="noStrike" kern="1200" baseline="0">
              <a:solidFill>
                <a:schemeClr val="bg2">
                  <a:lumMod val="2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0" verticalDpi="0"/>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[Excel_Project.xlsx]Units Sold by Year&amp;Profit!PivotTable2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GB" sz="1400" b="0" i="0" u="none" strike="noStrike" baseline="0">
                <a:solidFill>
                  <a:schemeClr val="tx1">
                    <a:lumMod val="95000"/>
                    <a:lumOff val="5000"/>
                  </a:schemeClr>
                </a:solidFill>
                <a:latin typeface="Segoe UI Bold" panose="020B0802040204020203" pitchFamily="34" charset="0"/>
                <a:cs typeface="Segoe UI Bold" panose="020B0802040204020203" pitchFamily="34" charset="0"/>
              </a:rPr>
              <a:t>Units Sold by Year</a:t>
            </a:r>
            <a:endParaRPr lang="en-US">
              <a:solidFill>
                <a:schemeClr val="tx1">
                  <a:lumMod val="95000"/>
                  <a:lumOff val="5000"/>
                </a:schemeClr>
              </a:solidFill>
              <a:latin typeface="Segoe UI Bold" panose="020B0802040204020203" pitchFamily="34" charset="0"/>
              <a:cs typeface="Segoe UI Bold" panose="020B0802040204020203" pitchFamily="34" charset="0"/>
            </a:endParaRPr>
          </a:p>
        </c:rich>
      </c:tx>
      <c:layout>
        <c:manualLayout>
          <c:xMode val="edge"/>
          <c:yMode val="edge"/>
          <c:x val="0.35551689998797154"/>
          <c:y val="6.48279620785106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s>
    <c:plotArea>
      <c:layout/>
      <c:barChart>
        <c:barDir val="col"/>
        <c:grouping val="clustered"/>
        <c:varyColors val="0"/>
        <c:ser>
          <c:idx val="0"/>
          <c:order val="0"/>
          <c:tx>
            <c:strRef>
              <c:f>'Units Sold by Year&amp;Profit'!$B$37</c:f>
              <c:strCache>
                <c:ptCount val="1"/>
                <c:pt idx="0">
                  <c:v>Total</c:v>
                </c:pt>
              </c:strCache>
            </c:strRef>
          </c:tx>
          <c:spPr>
            <a:solidFill>
              <a:schemeClr val="accent1"/>
            </a:solidFill>
            <a:ln>
              <a:noFill/>
            </a:ln>
            <a:effectLst/>
          </c:spPr>
          <c:invertIfNegative val="0"/>
          <c:dPt>
            <c:idx val="3"/>
            <c:invertIfNegative val="0"/>
            <c:bubble3D val="0"/>
            <c:spPr>
              <a:solidFill>
                <a:srgbClr val="0070C0"/>
              </a:solidFill>
              <a:ln>
                <a:noFill/>
              </a:ln>
              <a:effectLst/>
            </c:spPr>
            <c:extLst>
              <c:ext xmlns:c16="http://schemas.microsoft.com/office/drawing/2014/chart" uri="{C3380CC4-5D6E-409C-BE32-E72D297353CC}">
                <c16:uniqueId val="{00000002-A428-429B-878E-E234CEEF5DC7}"/>
              </c:ext>
            </c:extLst>
          </c:dPt>
          <c:cat>
            <c:strRef>
              <c:f>'Units Sold by Year&amp;Profit'!$A$38:$A$44</c:f>
              <c:strCache>
                <c:ptCount val="6"/>
                <c:pt idx="0">
                  <c:v>2011</c:v>
                </c:pt>
                <c:pt idx="1">
                  <c:v>2012</c:v>
                </c:pt>
                <c:pt idx="2">
                  <c:v>2013</c:v>
                </c:pt>
                <c:pt idx="3">
                  <c:v>2014</c:v>
                </c:pt>
                <c:pt idx="4">
                  <c:v>2015</c:v>
                </c:pt>
                <c:pt idx="5">
                  <c:v>2016</c:v>
                </c:pt>
              </c:strCache>
            </c:strRef>
          </c:cat>
          <c:val>
            <c:numRef>
              <c:f>'Units Sold by Year&amp;Profit'!$B$38:$B$44</c:f>
              <c:numCache>
                <c:formatCode>0.00</c:formatCode>
                <c:ptCount val="6"/>
                <c:pt idx="0">
                  <c:v>5260</c:v>
                </c:pt>
                <c:pt idx="1">
                  <c:v>5354</c:v>
                </c:pt>
                <c:pt idx="2">
                  <c:v>294787</c:v>
                </c:pt>
                <c:pt idx="3">
                  <c:v>379585</c:v>
                </c:pt>
                <c:pt idx="4">
                  <c:v>289517</c:v>
                </c:pt>
                <c:pt idx="5">
                  <c:v>370813</c:v>
                </c:pt>
              </c:numCache>
            </c:numRef>
          </c:val>
          <c:extLst>
            <c:ext xmlns:c16="http://schemas.microsoft.com/office/drawing/2014/chart" uri="{C3380CC4-5D6E-409C-BE32-E72D297353CC}">
              <c16:uniqueId val="{00000000-A428-429B-878E-E234CEEF5DC7}"/>
            </c:ext>
          </c:extLst>
        </c:ser>
        <c:dLbls>
          <c:showLegendKey val="0"/>
          <c:showVal val="0"/>
          <c:showCatName val="0"/>
          <c:showSerName val="0"/>
          <c:showPercent val="0"/>
          <c:showBubbleSize val="0"/>
        </c:dLbls>
        <c:gapWidth val="100"/>
        <c:overlap val="-27"/>
        <c:axId val="98250544"/>
        <c:axId val="98254384"/>
      </c:barChart>
      <c:catAx>
        <c:axId val="9825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98254384"/>
        <c:crosses val="autoZero"/>
        <c:auto val="1"/>
        <c:lblAlgn val="ctr"/>
        <c:lblOffset val="100"/>
        <c:noMultiLvlLbl val="0"/>
      </c:catAx>
      <c:valAx>
        <c:axId val="98254384"/>
        <c:scaling>
          <c:orientation val="minMax"/>
        </c:scaling>
        <c:delete val="0"/>
        <c:axPos val="l"/>
        <c:majorGridlines>
          <c:spPr>
            <a:ln w="9525" cap="flat" cmpd="sng" algn="ctr">
              <a:solidFill>
                <a:schemeClr val="tx2">
                  <a:lumMod val="25000"/>
                  <a:lumOff val="75000"/>
                </a:schemeClr>
              </a:solidFill>
              <a:prstDash val="sysDot"/>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98250544"/>
        <c:crosses val="autoZero"/>
        <c:crossBetween val="between"/>
      </c:valAx>
      <c:spPr>
        <a:solidFill>
          <a:srgbClr val="F1F3F9"/>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[Excel_Project.xlsx]Units Sold by Year&amp;Profit!PivotTable1</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200">
                <a:solidFill>
                  <a:schemeClr val="tx1"/>
                </a:solidFill>
                <a:latin typeface="Segoe UI Bold" panose="020B0802040204020203" pitchFamily="34" charset="0"/>
                <a:cs typeface="Segoe UI Bold" panose="020B0802040204020203" pitchFamily="34" charset="0"/>
              </a:rPr>
              <a:t>Profit</a:t>
            </a:r>
            <a:r>
              <a:rPr lang="en-US" sz="1200" baseline="0">
                <a:solidFill>
                  <a:schemeClr val="tx1"/>
                </a:solidFill>
                <a:latin typeface="Segoe UI Bold" panose="020B0802040204020203" pitchFamily="34" charset="0"/>
                <a:cs typeface="Segoe UI Bold" panose="020B0802040204020203" pitchFamily="34" charset="0"/>
              </a:rPr>
              <a:t> by country</a:t>
            </a:r>
            <a:endParaRPr lang="en-US" sz="1200">
              <a:solidFill>
                <a:schemeClr val="tx1"/>
              </a:solidFill>
              <a:latin typeface="Segoe UI Bold" panose="020B0802040204020203" pitchFamily="34" charset="0"/>
              <a:cs typeface="Segoe UI Bold" panose="020B0802040204020203" pitchFamily="34" charset="0"/>
            </a:endParaRPr>
          </a:p>
        </c:rich>
      </c:tx>
      <c:layout>
        <c:manualLayout>
          <c:xMode val="edge"/>
          <c:yMode val="edge"/>
          <c:x val="0.38854588318561961"/>
          <c:y val="3.599999999999999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by Year&amp;Profit'!$D$37</c:f>
              <c:strCache>
                <c:ptCount val="1"/>
                <c:pt idx="0">
                  <c:v>Total</c:v>
                </c:pt>
              </c:strCache>
            </c:strRef>
          </c:tx>
          <c:spPr>
            <a:solidFill>
              <a:schemeClr val="accent1"/>
            </a:solidFill>
            <a:ln>
              <a:noFill/>
            </a:ln>
            <a:effectLst/>
          </c:spPr>
          <c:invertIfNegative val="0"/>
          <c:cat>
            <c:strRef>
              <c:f>'Units Sold by Year&amp;Profit'!$C$38:$C$44</c:f>
              <c:strCache>
                <c:ptCount val="6"/>
                <c:pt idx="0">
                  <c:v>Australia</c:v>
                </c:pt>
                <c:pt idx="1">
                  <c:v>Canada</c:v>
                </c:pt>
                <c:pt idx="2">
                  <c:v>France</c:v>
                </c:pt>
                <c:pt idx="3">
                  <c:v>Germany</c:v>
                </c:pt>
                <c:pt idx="4">
                  <c:v>United Kingdom</c:v>
                </c:pt>
                <c:pt idx="5">
                  <c:v>United States</c:v>
                </c:pt>
              </c:strCache>
            </c:strRef>
          </c:cat>
          <c:val>
            <c:numRef>
              <c:f>'Units Sold by Year&amp;Profit'!$D$38:$D$44</c:f>
              <c:numCache>
                <c:formatCode>0.00</c:formatCode>
                <c:ptCount val="6"/>
                <c:pt idx="0">
                  <c:v>6776030</c:v>
                </c:pt>
                <c:pt idx="1">
                  <c:v>3717296</c:v>
                </c:pt>
                <c:pt idx="2">
                  <c:v>2880282</c:v>
                </c:pt>
                <c:pt idx="3">
                  <c:v>3359995</c:v>
                </c:pt>
                <c:pt idx="4">
                  <c:v>4413853</c:v>
                </c:pt>
                <c:pt idx="5">
                  <c:v>11073644</c:v>
                </c:pt>
              </c:numCache>
            </c:numRef>
          </c:val>
          <c:extLst>
            <c:ext xmlns:c16="http://schemas.microsoft.com/office/drawing/2014/chart" uri="{C3380CC4-5D6E-409C-BE32-E72D297353CC}">
              <c16:uniqueId val="{00000000-FAF4-4B31-95C5-05A666C94E4B}"/>
            </c:ext>
          </c:extLst>
        </c:ser>
        <c:dLbls>
          <c:showLegendKey val="0"/>
          <c:showVal val="0"/>
          <c:showCatName val="0"/>
          <c:showSerName val="0"/>
          <c:showPercent val="0"/>
          <c:showBubbleSize val="0"/>
        </c:dLbls>
        <c:gapWidth val="182"/>
        <c:axId val="1802352927"/>
        <c:axId val="1802357727"/>
      </c:barChart>
      <c:catAx>
        <c:axId val="180235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02357727"/>
        <c:crosses val="autoZero"/>
        <c:auto val="1"/>
        <c:lblAlgn val="ctr"/>
        <c:lblOffset val="100"/>
        <c:noMultiLvlLbl val="0"/>
      </c:catAx>
      <c:valAx>
        <c:axId val="1802357727"/>
        <c:scaling>
          <c:orientation val="minMax"/>
        </c:scaling>
        <c:delete val="0"/>
        <c:axPos val="b"/>
        <c:majorGridlines>
          <c:spPr>
            <a:ln w="9525" cap="flat" cmpd="sng" algn="ctr">
              <a:solidFill>
                <a:schemeClr val="tx2">
                  <a:lumMod val="25000"/>
                  <a:lumOff val="75000"/>
                </a:schemeClr>
              </a:solidFill>
              <a:prstDash val="sysDot"/>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02352927"/>
        <c:crosses val="autoZero"/>
        <c:crossBetween val="between"/>
      </c:valAx>
      <c:spPr>
        <a:solidFill>
          <a:srgbClr val="F1F7F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[Excel_Project.xlsx]Units Sold by Year&amp;Profit!PivotTable3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1"/>
                </a:solidFill>
                <a:latin typeface="Segoe UI Bold" panose="020B0802040204020203" pitchFamily="34" charset="0"/>
                <a:cs typeface="Segoe UI Bold" panose="020B0802040204020203" pitchFamily="34" charset="0"/>
              </a:rPr>
              <a:t>Profit by country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D86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6082"/>
          </a:solidFill>
          <a:ln>
            <a:noFill/>
          </a:ln>
          <a:effectLst/>
        </c:spPr>
      </c:pivotFmt>
    </c:pivotFmts>
    <c:plotArea>
      <c:layout/>
      <c:barChart>
        <c:barDir val="bar"/>
        <c:grouping val="stacked"/>
        <c:varyColors val="0"/>
        <c:ser>
          <c:idx val="0"/>
          <c:order val="0"/>
          <c:tx>
            <c:strRef>
              <c:f>'Units Sold by Year&amp;Profit'!$J$37:$J$38</c:f>
              <c:strCache>
                <c:ptCount val="1"/>
                <c:pt idx="0">
                  <c:v>F</c:v>
                </c:pt>
              </c:strCache>
            </c:strRef>
          </c:tx>
          <c:spPr>
            <a:solidFill>
              <a:srgbClr val="1D86B5"/>
            </a:solidFill>
            <a:ln>
              <a:noFill/>
            </a:ln>
            <a:effectLst/>
          </c:spPr>
          <c:invertIfNegative val="0"/>
          <c:cat>
            <c:strRef>
              <c:f>'Units Sold by Year&amp;Profit'!$I$39:$I$45</c:f>
              <c:strCache>
                <c:ptCount val="6"/>
                <c:pt idx="0">
                  <c:v>Australia</c:v>
                </c:pt>
                <c:pt idx="1">
                  <c:v>Canada</c:v>
                </c:pt>
                <c:pt idx="2">
                  <c:v>France</c:v>
                </c:pt>
                <c:pt idx="3">
                  <c:v>Germany</c:v>
                </c:pt>
                <c:pt idx="4">
                  <c:v>United Kingdom</c:v>
                </c:pt>
                <c:pt idx="5">
                  <c:v>United States</c:v>
                </c:pt>
              </c:strCache>
            </c:strRef>
          </c:cat>
          <c:val>
            <c:numRef>
              <c:f>'Units Sold by Year&amp;Profit'!$J$39:$J$45</c:f>
              <c:numCache>
                <c:formatCode>0.00</c:formatCode>
                <c:ptCount val="6"/>
                <c:pt idx="0">
                  <c:v>3442891</c:v>
                </c:pt>
                <c:pt idx="1">
                  <c:v>1673682</c:v>
                </c:pt>
                <c:pt idx="2">
                  <c:v>1389540</c:v>
                </c:pt>
                <c:pt idx="3">
                  <c:v>1768237</c:v>
                </c:pt>
                <c:pt idx="4">
                  <c:v>2209407</c:v>
                </c:pt>
                <c:pt idx="5">
                  <c:v>5250111</c:v>
                </c:pt>
              </c:numCache>
            </c:numRef>
          </c:val>
          <c:extLst>
            <c:ext xmlns:c16="http://schemas.microsoft.com/office/drawing/2014/chart" uri="{C3380CC4-5D6E-409C-BE32-E72D297353CC}">
              <c16:uniqueId val="{00000000-FA3A-4BAE-9AAF-EF17989A9DC8}"/>
            </c:ext>
          </c:extLst>
        </c:ser>
        <c:ser>
          <c:idx val="1"/>
          <c:order val="1"/>
          <c:tx>
            <c:strRef>
              <c:f>'Units Sold by Year&amp;Profit'!$K$37:$K$38</c:f>
              <c:strCache>
                <c:ptCount val="1"/>
                <c:pt idx="0">
                  <c:v>M</c:v>
                </c:pt>
              </c:strCache>
            </c:strRef>
          </c:tx>
          <c:spPr>
            <a:solidFill>
              <a:srgbClr val="156082"/>
            </a:solidFill>
            <a:ln>
              <a:noFill/>
            </a:ln>
            <a:effectLst/>
          </c:spPr>
          <c:invertIfNegative val="0"/>
          <c:cat>
            <c:strRef>
              <c:f>'Units Sold by Year&amp;Profit'!$I$39:$I$45</c:f>
              <c:strCache>
                <c:ptCount val="6"/>
                <c:pt idx="0">
                  <c:v>Australia</c:v>
                </c:pt>
                <c:pt idx="1">
                  <c:v>Canada</c:v>
                </c:pt>
                <c:pt idx="2">
                  <c:v>France</c:v>
                </c:pt>
                <c:pt idx="3">
                  <c:v>Germany</c:v>
                </c:pt>
                <c:pt idx="4">
                  <c:v>United Kingdom</c:v>
                </c:pt>
                <c:pt idx="5">
                  <c:v>United States</c:v>
                </c:pt>
              </c:strCache>
            </c:strRef>
          </c:cat>
          <c:val>
            <c:numRef>
              <c:f>'Units Sold by Year&amp;Profit'!$K$39:$K$45</c:f>
              <c:numCache>
                <c:formatCode>0.00</c:formatCode>
                <c:ptCount val="6"/>
                <c:pt idx="0">
                  <c:v>3333139</c:v>
                </c:pt>
                <c:pt idx="1">
                  <c:v>2043614</c:v>
                </c:pt>
                <c:pt idx="2">
                  <c:v>1490742</c:v>
                </c:pt>
                <c:pt idx="3">
                  <c:v>1591758</c:v>
                </c:pt>
                <c:pt idx="4">
                  <c:v>2204446</c:v>
                </c:pt>
                <c:pt idx="5">
                  <c:v>5823533</c:v>
                </c:pt>
              </c:numCache>
            </c:numRef>
          </c:val>
          <c:extLst>
            <c:ext xmlns:c16="http://schemas.microsoft.com/office/drawing/2014/chart" uri="{C3380CC4-5D6E-409C-BE32-E72D297353CC}">
              <c16:uniqueId val="{00000001-FA3A-4BAE-9AAF-EF17989A9DC8}"/>
            </c:ext>
          </c:extLst>
        </c:ser>
        <c:dLbls>
          <c:showLegendKey val="0"/>
          <c:showVal val="0"/>
          <c:showCatName val="0"/>
          <c:showSerName val="0"/>
          <c:showPercent val="0"/>
          <c:showBubbleSize val="0"/>
        </c:dLbls>
        <c:gapWidth val="150"/>
        <c:overlap val="100"/>
        <c:axId val="1731521312"/>
        <c:axId val="1731515072"/>
      </c:barChart>
      <c:catAx>
        <c:axId val="173152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731515072"/>
        <c:crosses val="autoZero"/>
        <c:auto val="1"/>
        <c:lblAlgn val="ctr"/>
        <c:lblOffset val="100"/>
        <c:noMultiLvlLbl val="0"/>
      </c:catAx>
      <c:valAx>
        <c:axId val="1731515072"/>
        <c:scaling>
          <c:orientation val="minMax"/>
        </c:scaling>
        <c:delete val="0"/>
        <c:axPos val="b"/>
        <c:majorGridlines>
          <c:spPr>
            <a:ln w="9525" cap="flat" cmpd="sng" algn="ctr">
              <a:solidFill>
                <a:schemeClr val="tx2">
                  <a:lumMod val="25000"/>
                  <a:lumOff val="75000"/>
                </a:schemeClr>
              </a:solidFill>
              <a:prstDash val="sysDot"/>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731521312"/>
        <c:crosses val="autoZero"/>
        <c:crossBetween val="between"/>
      </c:valAx>
      <c:spPr>
        <a:solidFill>
          <a:srgbClr val="F1F7FD"/>
        </a:solidFill>
        <a:ln>
          <a:noFill/>
        </a:ln>
        <a:effectLst/>
      </c:spPr>
    </c:plotArea>
    <c:legend>
      <c:legendPos val="t"/>
      <c:layout>
        <c:manualLayout>
          <c:xMode val="edge"/>
          <c:yMode val="edge"/>
          <c:x val="0.44248919298310851"/>
          <c:y val="0.16846652267818574"/>
          <c:w val="0.16696966598183488"/>
          <c:h val="7.28946786619275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F2F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[Excel_Project.xlsx]Units Sold by Year&amp;Profit!PivotTable4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chemeClr val="tx1"/>
                </a:solidFill>
                <a:latin typeface="Segoe UI Bold" panose="020B0802040204020203" pitchFamily="34" charset="0"/>
                <a:cs typeface="Segoe UI Bold" panose="020B0802040204020203" pitchFamily="34" charset="0"/>
              </a:rPr>
              <a:t>Revenue by country and gender</a:t>
            </a:r>
          </a:p>
        </c:rich>
      </c:tx>
      <c:layout>
        <c:manualLayout>
          <c:xMode val="edge"/>
          <c:yMode val="edge"/>
          <c:x val="0.25623521702179947"/>
          <c:y val="3.938730853391685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86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86B5"/>
          </a:solidFill>
          <a:ln>
            <a:noFill/>
          </a:ln>
          <a:effectLst/>
        </c:spPr>
      </c:pivotFmt>
    </c:pivotFmts>
    <c:plotArea>
      <c:layout/>
      <c:barChart>
        <c:barDir val="col"/>
        <c:grouping val="stacked"/>
        <c:varyColors val="0"/>
        <c:ser>
          <c:idx val="0"/>
          <c:order val="0"/>
          <c:tx>
            <c:strRef>
              <c:f>'Units Sold by Year&amp;Profit'!$F$37:$F$38</c:f>
              <c:strCache>
                <c:ptCount val="1"/>
                <c:pt idx="0">
                  <c:v>F</c:v>
                </c:pt>
              </c:strCache>
            </c:strRef>
          </c:tx>
          <c:spPr>
            <a:solidFill>
              <a:schemeClr val="accent1"/>
            </a:solidFill>
            <a:ln>
              <a:noFill/>
            </a:ln>
            <a:effectLst/>
          </c:spPr>
          <c:invertIfNegative val="0"/>
          <c:cat>
            <c:strRef>
              <c:f>'Units Sold by Year&amp;Profit'!$E$39:$E$45</c:f>
              <c:strCache>
                <c:ptCount val="6"/>
                <c:pt idx="0">
                  <c:v>Australia</c:v>
                </c:pt>
                <c:pt idx="1">
                  <c:v>Canada</c:v>
                </c:pt>
                <c:pt idx="2">
                  <c:v>France</c:v>
                </c:pt>
                <c:pt idx="3">
                  <c:v>Germany</c:v>
                </c:pt>
                <c:pt idx="4">
                  <c:v>United Kingdom</c:v>
                </c:pt>
                <c:pt idx="5">
                  <c:v>United States</c:v>
                </c:pt>
              </c:strCache>
            </c:strRef>
          </c:cat>
          <c:val>
            <c:numRef>
              <c:f>'Units Sold by Year&amp;Profit'!$F$39:$F$45</c:f>
              <c:numCache>
                <c:formatCode>0.00</c:formatCode>
                <c:ptCount val="6"/>
                <c:pt idx="0">
                  <c:v>10860546</c:v>
                </c:pt>
                <c:pt idx="1">
                  <c:v>3663981</c:v>
                </c:pt>
                <c:pt idx="2">
                  <c:v>4014681</c:v>
                </c:pt>
                <c:pt idx="3">
                  <c:v>4722830</c:v>
                </c:pt>
                <c:pt idx="4">
                  <c:v>5286307</c:v>
                </c:pt>
                <c:pt idx="5">
                  <c:v>13387254</c:v>
                </c:pt>
              </c:numCache>
            </c:numRef>
          </c:val>
          <c:extLst>
            <c:ext xmlns:c16="http://schemas.microsoft.com/office/drawing/2014/chart" uri="{C3380CC4-5D6E-409C-BE32-E72D297353CC}">
              <c16:uniqueId val="{00000000-1C51-42D3-8E3F-CA441BFA6674}"/>
            </c:ext>
          </c:extLst>
        </c:ser>
        <c:ser>
          <c:idx val="1"/>
          <c:order val="1"/>
          <c:tx>
            <c:strRef>
              <c:f>'Units Sold by Year&amp;Profit'!$G$37:$G$38</c:f>
              <c:strCache>
                <c:ptCount val="1"/>
                <c:pt idx="0">
                  <c:v>M</c:v>
                </c:pt>
              </c:strCache>
            </c:strRef>
          </c:tx>
          <c:spPr>
            <a:solidFill>
              <a:srgbClr val="1D86B5"/>
            </a:solidFill>
            <a:ln>
              <a:noFill/>
            </a:ln>
            <a:effectLst/>
          </c:spPr>
          <c:invertIfNegative val="0"/>
          <c:cat>
            <c:strRef>
              <c:f>'Units Sold by Year&amp;Profit'!$E$39:$E$45</c:f>
              <c:strCache>
                <c:ptCount val="6"/>
                <c:pt idx="0">
                  <c:v>Australia</c:v>
                </c:pt>
                <c:pt idx="1">
                  <c:v>Canada</c:v>
                </c:pt>
                <c:pt idx="2">
                  <c:v>France</c:v>
                </c:pt>
                <c:pt idx="3">
                  <c:v>Germany</c:v>
                </c:pt>
                <c:pt idx="4">
                  <c:v>United Kingdom</c:v>
                </c:pt>
                <c:pt idx="5">
                  <c:v>United States</c:v>
                </c:pt>
              </c:strCache>
            </c:strRef>
          </c:cat>
          <c:val>
            <c:numRef>
              <c:f>'Units Sold by Year&amp;Profit'!$G$39:$G$45</c:f>
              <c:numCache>
                <c:formatCode>0.00</c:formatCode>
                <c:ptCount val="6"/>
                <c:pt idx="0">
                  <c:v>10441513</c:v>
                </c:pt>
                <c:pt idx="1">
                  <c:v>4271757</c:v>
                </c:pt>
                <c:pt idx="2">
                  <c:v>4418191</c:v>
                </c:pt>
                <c:pt idx="3">
                  <c:v>4255766</c:v>
                </c:pt>
                <c:pt idx="4">
                  <c:v>5359889</c:v>
                </c:pt>
                <c:pt idx="5">
                  <c:v>14588293</c:v>
                </c:pt>
              </c:numCache>
            </c:numRef>
          </c:val>
          <c:extLst>
            <c:ext xmlns:c16="http://schemas.microsoft.com/office/drawing/2014/chart" uri="{C3380CC4-5D6E-409C-BE32-E72D297353CC}">
              <c16:uniqueId val="{00000001-1C51-42D3-8E3F-CA441BFA6674}"/>
            </c:ext>
          </c:extLst>
        </c:ser>
        <c:dLbls>
          <c:dLblPos val="ctr"/>
          <c:showLegendKey val="0"/>
          <c:showVal val="0"/>
          <c:showCatName val="0"/>
          <c:showSerName val="0"/>
          <c:showPercent val="0"/>
          <c:showBubbleSize val="0"/>
        </c:dLbls>
        <c:gapWidth val="150"/>
        <c:overlap val="100"/>
        <c:axId val="1867028111"/>
        <c:axId val="1867026671"/>
      </c:barChart>
      <c:catAx>
        <c:axId val="186702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67026671"/>
        <c:crosses val="autoZero"/>
        <c:auto val="1"/>
        <c:lblAlgn val="ctr"/>
        <c:lblOffset val="100"/>
        <c:noMultiLvlLbl val="0"/>
      </c:catAx>
      <c:valAx>
        <c:axId val="1867026671"/>
        <c:scaling>
          <c:orientation val="minMax"/>
        </c:scaling>
        <c:delete val="0"/>
        <c:axPos val="l"/>
        <c:majorGridlines>
          <c:spPr>
            <a:ln w="9525" cap="flat" cmpd="sng" algn="ctr">
              <a:solidFill>
                <a:schemeClr val="tx2">
                  <a:lumMod val="25000"/>
                  <a:lumOff val="75000"/>
                </a:schemeClr>
              </a:solidFill>
              <a:prstDash val="sysDot"/>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867028111"/>
        <c:crosses val="autoZero"/>
        <c:crossBetween val="between"/>
      </c:valAx>
      <c:spPr>
        <a:solidFill>
          <a:srgbClr val="F1F7FD"/>
        </a:solidFill>
        <a:ln>
          <a:noFill/>
        </a:ln>
        <a:effectLst/>
      </c:spPr>
    </c:plotArea>
    <c:legend>
      <c:legendPos val="t"/>
      <c:layout>
        <c:manualLayout>
          <c:xMode val="edge"/>
          <c:yMode val="edge"/>
          <c:x val="0.45226052855226645"/>
          <c:y val="0.14460215053763442"/>
          <c:w val="0.15789766851315237"/>
          <c:h val="7.25811531623063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F2F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400" b="0" i="0" u="none" strike="noStrike" baseline="0">
                <a:solidFill>
                  <a:schemeClr val="tx1">
                    <a:lumMod val="95000"/>
                    <a:lumOff val="5000"/>
                  </a:schemeClr>
                </a:solidFill>
                <a:latin typeface="Segoe UI Bold" panose="020B0802040204020203" pitchFamily="34" charset="0"/>
                <a:cs typeface="Segoe UI Bold" panose="020B0802040204020203" pitchFamily="34" charset="0"/>
              </a:rPr>
              <a:t>Revenue and Profit Over Time</a:t>
            </a:r>
            <a:endParaRPr lang="en-GB" sz="1400">
              <a:solidFill>
                <a:schemeClr val="tx1">
                  <a:lumMod val="95000"/>
                  <a:lumOff val="5000"/>
                </a:schemeClr>
              </a:solidFill>
              <a:latin typeface="Segoe UI Bold" panose="020B0802040204020203" pitchFamily="34" charset="0"/>
              <a:cs typeface="Segoe UI Bold" panose="020B0802040204020203" pitchFamily="34" charset="0"/>
            </a:endParaRP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GB"/>
        </a:p>
      </c:txPr>
    </c:title>
    <c:autoTitleDeleted val="0"/>
    <c:plotArea>
      <c:layout/>
      <c:lineChart>
        <c:grouping val="standard"/>
        <c:varyColors val="0"/>
        <c:ser>
          <c:idx val="1"/>
          <c:order val="0"/>
          <c:tx>
            <c:strRef>
              <c:f>'Revenue and Profit Over Time'!$G$1</c:f>
              <c:strCache>
                <c:ptCount val="1"/>
                <c:pt idx="0">
                  <c:v>Profit</c:v>
                </c:pt>
              </c:strCache>
            </c:strRef>
          </c:tx>
          <c:spPr>
            <a:ln w="28575" cap="rnd">
              <a:solidFill>
                <a:schemeClr val="accent1">
                  <a:lumMod val="60000"/>
                  <a:lumOff val="40000"/>
                </a:schemeClr>
              </a:solidFill>
              <a:round/>
            </a:ln>
            <a:effectLst/>
          </c:spPr>
          <c:marker>
            <c:symbol val="none"/>
          </c:marker>
          <c:cat>
            <c:numRef>
              <c:f>'Revenue and Profit Over Time'!$H$2:$H$63</c:f>
              <c:numCache>
                <c:formatCode>m/d/yyyy</c:formatCode>
                <c:ptCount val="62"/>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42005</c:v>
                </c:pt>
                <c:pt idx="44">
                  <c:v>42036</c:v>
                </c:pt>
                <c:pt idx="45">
                  <c:v>42064</c:v>
                </c:pt>
                <c:pt idx="46">
                  <c:v>42095</c:v>
                </c:pt>
                <c:pt idx="47">
                  <c:v>42125</c:v>
                </c:pt>
                <c:pt idx="48">
                  <c:v>42156</c:v>
                </c:pt>
                <c:pt idx="49">
                  <c:v>42186</c:v>
                </c:pt>
                <c:pt idx="50">
                  <c:v>42217</c:v>
                </c:pt>
                <c:pt idx="51">
                  <c:v>42248</c:v>
                </c:pt>
                <c:pt idx="52">
                  <c:v>42278</c:v>
                </c:pt>
                <c:pt idx="53">
                  <c:v>42309</c:v>
                </c:pt>
                <c:pt idx="54">
                  <c:v>42339</c:v>
                </c:pt>
                <c:pt idx="55">
                  <c:v>42370</c:v>
                </c:pt>
                <c:pt idx="56">
                  <c:v>42401</c:v>
                </c:pt>
                <c:pt idx="57">
                  <c:v>42430</c:v>
                </c:pt>
                <c:pt idx="58">
                  <c:v>42461</c:v>
                </c:pt>
                <c:pt idx="59">
                  <c:v>42491</c:v>
                </c:pt>
                <c:pt idx="60">
                  <c:v>42522</c:v>
                </c:pt>
                <c:pt idx="61">
                  <c:v>42552</c:v>
                </c:pt>
              </c:numCache>
            </c:numRef>
          </c:cat>
          <c:val>
            <c:numRef>
              <c:f>'Revenue and Profit Over Time'!$G$2:$G$63</c:f>
              <c:numCache>
                <c:formatCode>0.00</c:formatCode>
                <c:ptCount val="62"/>
                <c:pt idx="0">
                  <c:v>212849</c:v>
                </c:pt>
                <c:pt idx="1">
                  <c:v>207144</c:v>
                </c:pt>
                <c:pt idx="2">
                  <c:v>226404</c:v>
                </c:pt>
                <c:pt idx="3">
                  <c:v>223601</c:v>
                </c:pt>
                <c:pt idx="4">
                  <c:v>234689</c:v>
                </c:pt>
                <c:pt idx="5">
                  <c:v>215029</c:v>
                </c:pt>
                <c:pt idx="6">
                  <c:v>288528</c:v>
                </c:pt>
                <c:pt idx="7">
                  <c:v>285831</c:v>
                </c:pt>
                <c:pt idx="8">
                  <c:v>213556</c:v>
                </c:pt>
                <c:pt idx="9">
                  <c:v>222507</c:v>
                </c:pt>
                <c:pt idx="10">
                  <c:v>181971</c:v>
                </c:pt>
                <c:pt idx="11">
                  <c:v>369192</c:v>
                </c:pt>
                <c:pt idx="12">
                  <c:v>211281</c:v>
                </c:pt>
                <c:pt idx="13">
                  <c:v>209113</c:v>
                </c:pt>
                <c:pt idx="14">
                  <c:v>235084</c:v>
                </c:pt>
                <c:pt idx="15">
                  <c:v>236763</c:v>
                </c:pt>
                <c:pt idx="16">
                  <c:v>245256</c:v>
                </c:pt>
                <c:pt idx="17">
                  <c:v>226035</c:v>
                </c:pt>
                <c:pt idx="18">
                  <c:v>278194</c:v>
                </c:pt>
                <c:pt idx="19">
                  <c:v>300608</c:v>
                </c:pt>
                <c:pt idx="20">
                  <c:v>220745</c:v>
                </c:pt>
                <c:pt idx="21">
                  <c:v>236188</c:v>
                </c:pt>
                <c:pt idx="22">
                  <c:v>191771</c:v>
                </c:pt>
                <c:pt idx="23">
                  <c:v>360955</c:v>
                </c:pt>
                <c:pt idx="24">
                  <c:v>143278</c:v>
                </c:pt>
                <c:pt idx="25">
                  <c:v>159939</c:v>
                </c:pt>
                <c:pt idx="26">
                  <c:v>154707</c:v>
                </c:pt>
                <c:pt idx="27">
                  <c:v>153803</c:v>
                </c:pt>
                <c:pt idx="28">
                  <c:v>196359</c:v>
                </c:pt>
                <c:pt idx="29">
                  <c:v>175079</c:v>
                </c:pt>
                <c:pt idx="30">
                  <c:v>444939</c:v>
                </c:pt>
                <c:pt idx="31">
                  <c:v>751230</c:v>
                </c:pt>
                <c:pt idx="32">
                  <c:v>828969</c:v>
                </c:pt>
                <c:pt idx="33">
                  <c:v>841998</c:v>
                </c:pt>
                <c:pt idx="34">
                  <c:v>908884</c:v>
                </c:pt>
                <c:pt idx="35">
                  <c:v>1200023</c:v>
                </c:pt>
                <c:pt idx="36">
                  <c:v>824846</c:v>
                </c:pt>
                <c:pt idx="37">
                  <c:v>800921</c:v>
                </c:pt>
                <c:pt idx="38">
                  <c:v>873053</c:v>
                </c:pt>
                <c:pt idx="39">
                  <c:v>915671</c:v>
                </c:pt>
                <c:pt idx="40">
                  <c:v>1066174</c:v>
                </c:pt>
                <c:pt idx="41">
                  <c:v>1119924</c:v>
                </c:pt>
                <c:pt idx="42">
                  <c:v>263498</c:v>
                </c:pt>
                <c:pt idx="43">
                  <c:v>219194</c:v>
                </c:pt>
                <c:pt idx="44">
                  <c:v>220611</c:v>
                </c:pt>
                <c:pt idx="45">
                  <c:v>236086</c:v>
                </c:pt>
                <c:pt idx="46">
                  <c:v>237588</c:v>
                </c:pt>
                <c:pt idx="47">
                  <c:v>297294</c:v>
                </c:pt>
                <c:pt idx="48">
                  <c:v>258864</c:v>
                </c:pt>
                <c:pt idx="49">
                  <c:v>609952</c:v>
                </c:pt>
                <c:pt idx="50">
                  <c:v>876535</c:v>
                </c:pt>
                <c:pt idx="51">
                  <c:v>986391</c:v>
                </c:pt>
                <c:pt idx="52">
                  <c:v>1000619</c:v>
                </c:pt>
                <c:pt idx="53">
                  <c:v>1105887</c:v>
                </c:pt>
                <c:pt idx="54">
                  <c:v>1479542</c:v>
                </c:pt>
                <c:pt idx="55">
                  <c:v>1007073</c:v>
                </c:pt>
                <c:pt idx="56">
                  <c:v>964594</c:v>
                </c:pt>
                <c:pt idx="57">
                  <c:v>1036532</c:v>
                </c:pt>
                <c:pt idx="58">
                  <c:v>1097293</c:v>
                </c:pt>
                <c:pt idx="59">
                  <c:v>1287165</c:v>
                </c:pt>
                <c:pt idx="60">
                  <c:v>1388652</c:v>
                </c:pt>
                <c:pt idx="61">
                  <c:v>254639</c:v>
                </c:pt>
              </c:numCache>
            </c:numRef>
          </c:val>
          <c:smooth val="0"/>
          <c:extLst>
            <c:ext xmlns:c16="http://schemas.microsoft.com/office/drawing/2014/chart" uri="{C3380CC4-5D6E-409C-BE32-E72D297353CC}">
              <c16:uniqueId val="{00000002-4774-489B-9BB7-22E6FDA07E76}"/>
            </c:ext>
          </c:extLst>
        </c:ser>
        <c:ser>
          <c:idx val="0"/>
          <c:order val="1"/>
          <c:tx>
            <c:strRef>
              <c:f>'Revenue and Profit Over Time'!$E$1</c:f>
              <c:strCache>
                <c:ptCount val="1"/>
                <c:pt idx="0">
                  <c:v>Revenue</c:v>
                </c:pt>
              </c:strCache>
            </c:strRef>
          </c:tx>
          <c:spPr>
            <a:ln w="28575" cap="rnd">
              <a:solidFill>
                <a:schemeClr val="accent1"/>
              </a:solidFill>
              <a:round/>
            </a:ln>
            <a:effectLst/>
          </c:spPr>
          <c:marker>
            <c:symbol val="none"/>
          </c:marker>
          <c:val>
            <c:numRef>
              <c:f>'Revenue and Profit Over Time'!$E$2:$E$63</c:f>
              <c:numCache>
                <c:formatCode>0.00</c:formatCode>
                <c:ptCount val="62"/>
                <c:pt idx="0">
                  <c:v>675193</c:v>
                </c:pt>
                <c:pt idx="1">
                  <c:v>637598</c:v>
                </c:pt>
                <c:pt idx="2">
                  <c:v>708517</c:v>
                </c:pt>
                <c:pt idx="3">
                  <c:v>698782</c:v>
                </c:pt>
                <c:pt idx="4">
                  <c:v>734537</c:v>
                </c:pt>
                <c:pt idx="5">
                  <c:v>658138</c:v>
                </c:pt>
                <c:pt idx="6">
                  <c:v>882219</c:v>
                </c:pt>
                <c:pt idx="7">
                  <c:v>880037</c:v>
                </c:pt>
                <c:pt idx="8">
                  <c:v>685754</c:v>
                </c:pt>
                <c:pt idx="9">
                  <c:v>696949</c:v>
                </c:pt>
                <c:pt idx="10">
                  <c:v>574498</c:v>
                </c:pt>
                <c:pt idx="11">
                  <c:v>1132666</c:v>
                </c:pt>
                <c:pt idx="12">
                  <c:v>671695</c:v>
                </c:pt>
                <c:pt idx="13">
                  <c:v>642657</c:v>
                </c:pt>
                <c:pt idx="14">
                  <c:v>740824</c:v>
                </c:pt>
                <c:pt idx="15">
                  <c:v>731005</c:v>
                </c:pt>
                <c:pt idx="16">
                  <c:v>765660</c:v>
                </c:pt>
                <c:pt idx="17">
                  <c:v>691871</c:v>
                </c:pt>
                <c:pt idx="18">
                  <c:v>863284</c:v>
                </c:pt>
                <c:pt idx="19">
                  <c:v>927504</c:v>
                </c:pt>
                <c:pt idx="20">
                  <c:v>701963</c:v>
                </c:pt>
                <c:pt idx="21">
                  <c:v>727918</c:v>
                </c:pt>
                <c:pt idx="22">
                  <c:v>601501</c:v>
                </c:pt>
                <c:pt idx="23">
                  <c:v>1110101</c:v>
                </c:pt>
                <c:pt idx="24">
                  <c:v>435063</c:v>
                </c:pt>
                <c:pt idx="25">
                  <c:v>485405</c:v>
                </c:pt>
                <c:pt idx="26">
                  <c:v>466940</c:v>
                </c:pt>
                <c:pt idx="27">
                  <c:v>476905</c:v>
                </c:pt>
                <c:pt idx="28">
                  <c:v>589689</c:v>
                </c:pt>
                <c:pt idx="29">
                  <c:v>534099</c:v>
                </c:pt>
                <c:pt idx="30">
                  <c:v>1230711</c:v>
                </c:pt>
                <c:pt idx="31">
                  <c:v>1763071</c:v>
                </c:pt>
                <c:pt idx="32">
                  <c:v>1988996</c:v>
                </c:pt>
                <c:pt idx="33">
                  <c:v>2041128</c:v>
                </c:pt>
                <c:pt idx="34">
                  <c:v>2232077</c:v>
                </c:pt>
                <c:pt idx="35">
                  <c:v>2995953</c:v>
                </c:pt>
                <c:pt idx="36">
                  <c:v>2003941</c:v>
                </c:pt>
                <c:pt idx="37">
                  <c:v>1945487</c:v>
                </c:pt>
                <c:pt idx="38">
                  <c:v>2108212</c:v>
                </c:pt>
                <c:pt idx="39">
                  <c:v>2204586</c:v>
                </c:pt>
                <c:pt idx="40">
                  <c:v>2587491</c:v>
                </c:pt>
                <c:pt idx="41">
                  <c:v>2786120</c:v>
                </c:pt>
                <c:pt idx="42">
                  <c:v>516887</c:v>
                </c:pt>
                <c:pt idx="43">
                  <c:v>666938</c:v>
                </c:pt>
                <c:pt idx="44">
                  <c:v>679246</c:v>
                </c:pt>
                <c:pt idx="45">
                  <c:v>714008</c:v>
                </c:pt>
                <c:pt idx="46">
                  <c:v>734608</c:v>
                </c:pt>
                <c:pt idx="47">
                  <c:v>895043</c:v>
                </c:pt>
                <c:pt idx="48">
                  <c:v>786480</c:v>
                </c:pt>
                <c:pt idx="49">
                  <c:v>1728398</c:v>
                </c:pt>
                <c:pt idx="50">
                  <c:v>2140581</c:v>
                </c:pt>
                <c:pt idx="51">
                  <c:v>2465172</c:v>
                </c:pt>
                <c:pt idx="52">
                  <c:v>2529084</c:v>
                </c:pt>
                <c:pt idx="53">
                  <c:v>2836222</c:v>
                </c:pt>
                <c:pt idx="54">
                  <c:v>3848211</c:v>
                </c:pt>
                <c:pt idx="55">
                  <c:v>2553065</c:v>
                </c:pt>
                <c:pt idx="56">
                  <c:v>2444190</c:v>
                </c:pt>
                <c:pt idx="57">
                  <c:v>2608663</c:v>
                </c:pt>
                <c:pt idx="58">
                  <c:v>2756864</c:v>
                </c:pt>
                <c:pt idx="59">
                  <c:v>3264343</c:v>
                </c:pt>
                <c:pt idx="60">
                  <c:v>3586300</c:v>
                </c:pt>
                <c:pt idx="61">
                  <c:v>499960</c:v>
                </c:pt>
              </c:numCache>
            </c:numRef>
          </c:val>
          <c:smooth val="0"/>
          <c:extLst>
            <c:ext xmlns:c16="http://schemas.microsoft.com/office/drawing/2014/chart" uri="{C3380CC4-5D6E-409C-BE32-E72D297353CC}">
              <c16:uniqueId val="{00000003-4774-489B-9BB7-22E6FDA07E76}"/>
            </c:ext>
          </c:extLst>
        </c:ser>
        <c:dLbls>
          <c:showLegendKey val="0"/>
          <c:showVal val="0"/>
          <c:showCatName val="0"/>
          <c:showSerName val="0"/>
          <c:showPercent val="0"/>
          <c:showBubbleSize val="0"/>
        </c:dLbls>
        <c:smooth val="0"/>
        <c:axId val="98298064"/>
        <c:axId val="98299504"/>
      </c:lineChart>
      <c:dateAx>
        <c:axId val="98298064"/>
        <c:scaling>
          <c:orientation val="minMax"/>
        </c:scaling>
        <c:delete val="0"/>
        <c:axPos val="b"/>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98299504"/>
        <c:crosses val="autoZero"/>
        <c:auto val="1"/>
        <c:lblOffset val="100"/>
        <c:baseTimeUnit val="months"/>
      </c:dateAx>
      <c:valAx>
        <c:axId val="98299504"/>
        <c:scaling>
          <c:orientation val="minMax"/>
        </c:scaling>
        <c:delete val="0"/>
        <c:axPos val="l"/>
        <c:majorGridlines>
          <c:spPr>
            <a:ln w="9525" cap="flat" cmpd="sng" algn="ctr">
              <a:solidFill>
                <a:schemeClr val="tx2">
                  <a:lumMod val="10000"/>
                  <a:lumOff val="90000"/>
                </a:schemeClr>
              </a:solidFill>
              <a:prstDash val="sysDot"/>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98298064"/>
        <c:crosses val="autoZero"/>
        <c:crossBetween val="between"/>
      </c:valAx>
      <c:spPr>
        <a:solidFill>
          <a:srgbClr val="F1F3F9"/>
        </a:solidFill>
        <a:ln>
          <a:noFill/>
        </a:ln>
        <a:effectLst/>
      </c:spPr>
    </c:plotArea>
    <c:legend>
      <c:legendPos val="t"/>
      <c:layout>
        <c:manualLayout>
          <c:xMode val="edge"/>
          <c:yMode val="edge"/>
          <c:x val="0.36866429586446919"/>
          <c:y val="0.19048553635820023"/>
          <c:w val="0.26092772621299432"/>
          <c:h val="5.0600054303556886E-2"/>
        </c:manualLayout>
      </c:layout>
      <c:overlay val="0"/>
      <c:spPr>
        <a:noFill/>
        <a:ln>
          <a:solidFill>
            <a:schemeClr val="bg1"/>
          </a:solidFill>
        </a:ln>
        <a:effectLst/>
      </c:spPr>
      <c:txPr>
        <a:bodyPr rot="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rot="-5400000" vert="horz"/>
    <a:lstStyle/>
    <a:p>
      <a:pPr>
        <a:defRPr sz="800" b="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Segoe UI" panose="020B0502040204020203" pitchFamily="34" charset="0"/>
                <a:ea typeface="+mn-ea"/>
                <a:cs typeface="Segoe UI" panose="020B0502040204020203" pitchFamily="34" charset="0"/>
              </a:defRPr>
            </a:pPr>
            <a:r>
              <a:rPr lang="en-GB">
                <a:latin typeface="Segoe UI Bold" panose="020B0802040204020203" pitchFamily="34" charset="0"/>
                <a:cs typeface="Segoe UI Bold" panose="020B0802040204020203" pitchFamily="34" charset="0"/>
              </a:rPr>
              <a:t>Profit Margin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lineChart>
        <c:grouping val="standard"/>
        <c:varyColors val="0"/>
        <c:ser>
          <c:idx val="0"/>
          <c:order val="0"/>
          <c:tx>
            <c:strRef>
              <c:f>'Revenue and Profit Over Time'!$I$1</c:f>
              <c:strCache>
                <c:ptCount val="1"/>
                <c:pt idx="0">
                  <c:v>Profit Margin</c:v>
                </c:pt>
              </c:strCache>
            </c:strRef>
          </c:tx>
          <c:spPr>
            <a:ln w="28575" cap="rnd">
              <a:solidFill>
                <a:schemeClr val="accent1"/>
              </a:solidFill>
              <a:round/>
            </a:ln>
            <a:effectLst/>
          </c:spPr>
          <c:marker>
            <c:symbol val="none"/>
          </c:marker>
          <c:cat>
            <c:numRef>
              <c:f>'Revenue and Profit Over Time'!$H$2:$H$63</c:f>
              <c:numCache>
                <c:formatCode>m/d/yyyy</c:formatCode>
                <c:ptCount val="62"/>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42005</c:v>
                </c:pt>
                <c:pt idx="44">
                  <c:v>42036</c:v>
                </c:pt>
                <c:pt idx="45">
                  <c:v>42064</c:v>
                </c:pt>
                <c:pt idx="46">
                  <c:v>42095</c:v>
                </c:pt>
                <c:pt idx="47">
                  <c:v>42125</c:v>
                </c:pt>
                <c:pt idx="48">
                  <c:v>42156</c:v>
                </c:pt>
                <c:pt idx="49">
                  <c:v>42186</c:v>
                </c:pt>
                <c:pt idx="50">
                  <c:v>42217</c:v>
                </c:pt>
                <c:pt idx="51">
                  <c:v>42248</c:v>
                </c:pt>
                <c:pt idx="52">
                  <c:v>42278</c:v>
                </c:pt>
                <c:pt idx="53">
                  <c:v>42309</c:v>
                </c:pt>
                <c:pt idx="54">
                  <c:v>42339</c:v>
                </c:pt>
                <c:pt idx="55">
                  <c:v>42370</c:v>
                </c:pt>
                <c:pt idx="56">
                  <c:v>42401</c:v>
                </c:pt>
                <c:pt idx="57">
                  <c:v>42430</c:v>
                </c:pt>
                <c:pt idx="58">
                  <c:v>42461</c:v>
                </c:pt>
                <c:pt idx="59">
                  <c:v>42491</c:v>
                </c:pt>
                <c:pt idx="60">
                  <c:v>42522</c:v>
                </c:pt>
                <c:pt idx="61">
                  <c:v>42552</c:v>
                </c:pt>
              </c:numCache>
            </c:numRef>
          </c:cat>
          <c:val>
            <c:numRef>
              <c:f>'Revenue and Profit Over Time'!$I$2:$I$63</c:f>
              <c:numCache>
                <c:formatCode>0.0%</c:formatCode>
                <c:ptCount val="62"/>
                <c:pt idx="0">
                  <c:v>0.3152417160722934</c:v>
                </c:pt>
                <c:pt idx="1">
                  <c:v>0.32488182208852601</c:v>
                </c:pt>
                <c:pt idx="2">
                  <c:v>0.31954631998949917</c:v>
                </c:pt>
                <c:pt idx="3">
                  <c:v>0.31998677699196604</c:v>
                </c:pt>
                <c:pt idx="4">
                  <c:v>0.3195060289679077</c:v>
                </c:pt>
                <c:pt idx="5">
                  <c:v>0.32672327080338776</c:v>
                </c:pt>
                <c:pt idx="6">
                  <c:v>0.32704804589336661</c:v>
                </c:pt>
                <c:pt idx="7">
                  <c:v>0.32479429842154361</c:v>
                </c:pt>
                <c:pt idx="8">
                  <c:v>0.31141779705258738</c:v>
                </c:pt>
                <c:pt idx="9">
                  <c:v>0.31925865450700125</c:v>
                </c:pt>
                <c:pt idx="10">
                  <c:v>0.31674783898290332</c:v>
                </c:pt>
                <c:pt idx="11">
                  <c:v>0.32594957383730067</c:v>
                </c:pt>
                <c:pt idx="12">
                  <c:v>0.31454901406144159</c:v>
                </c:pt>
                <c:pt idx="13">
                  <c:v>0.32538819307966771</c:v>
                </c:pt>
                <c:pt idx="14">
                  <c:v>0.31732773236288242</c:v>
                </c:pt>
                <c:pt idx="15">
                  <c:v>0.32388697751725365</c:v>
                </c:pt>
                <c:pt idx="16">
                  <c:v>0.32031972415954862</c:v>
                </c:pt>
                <c:pt idx="17">
                  <c:v>0.32670107577857721</c:v>
                </c:pt>
                <c:pt idx="18">
                  <c:v>0.32225084676653337</c:v>
                </c:pt>
                <c:pt idx="19">
                  <c:v>0.32410426262312614</c:v>
                </c:pt>
                <c:pt idx="20">
                  <c:v>0.31446814148324059</c:v>
                </c:pt>
                <c:pt idx="21">
                  <c:v>0.32447061344821809</c:v>
                </c:pt>
                <c:pt idx="22">
                  <c:v>0.31882075009019106</c:v>
                </c:pt>
                <c:pt idx="23">
                  <c:v>0.32515509850004637</c:v>
                </c:pt>
                <c:pt idx="24">
                  <c:v>0.32932701700673234</c:v>
                </c:pt>
                <c:pt idx="25">
                  <c:v>0.32949598788640416</c:v>
                </c:pt>
                <c:pt idx="26">
                  <c:v>0.33132094059193901</c:v>
                </c:pt>
                <c:pt idx="27">
                  <c:v>0.32250238517105084</c:v>
                </c:pt>
                <c:pt idx="28">
                  <c:v>0.33298738826737484</c:v>
                </c:pt>
                <c:pt idx="29">
                  <c:v>0.32780252350219719</c:v>
                </c:pt>
                <c:pt idx="30">
                  <c:v>0.36153004239013059</c:v>
                </c:pt>
                <c:pt idx="31">
                  <c:v>0.42609174559617846</c:v>
                </c:pt>
                <c:pt idx="32">
                  <c:v>0.41677761041248951</c:v>
                </c:pt>
                <c:pt idx="33">
                  <c:v>0.41251602055334108</c:v>
                </c:pt>
                <c:pt idx="34">
                  <c:v>0.40719204579411911</c:v>
                </c:pt>
                <c:pt idx="35">
                  <c:v>0.40054800592666173</c:v>
                </c:pt>
                <c:pt idx="36">
                  <c:v>0.41161191871417374</c:v>
                </c:pt>
                <c:pt idx="37">
                  <c:v>0.41168149671521836</c:v>
                </c:pt>
                <c:pt idx="38">
                  <c:v>0.41412011695218509</c:v>
                </c:pt>
                <c:pt idx="39">
                  <c:v>0.41534827854300083</c:v>
                </c:pt>
                <c:pt idx="40">
                  <c:v>0.41204935592046504</c:v>
                </c:pt>
                <c:pt idx="41">
                  <c:v>0.40196545733852096</c:v>
                </c:pt>
                <c:pt idx="42">
                  <c:v>0.50977873306931687</c:v>
                </c:pt>
                <c:pt idx="43">
                  <c:v>0.32865723650474254</c:v>
                </c:pt>
                <c:pt idx="44">
                  <c:v>0.32478807383481095</c:v>
                </c:pt>
                <c:pt idx="45">
                  <c:v>0.33064895631421498</c:v>
                </c:pt>
                <c:pt idx="46">
                  <c:v>0.32342147104305968</c:v>
                </c:pt>
                <c:pt idx="47">
                  <c:v>0.33215610870092277</c:v>
                </c:pt>
                <c:pt idx="48">
                  <c:v>0.3291425083918218</c:v>
                </c:pt>
                <c:pt idx="49">
                  <c:v>0.35290020006965989</c:v>
                </c:pt>
                <c:pt idx="50">
                  <c:v>0.40948462123133861</c:v>
                </c:pt>
                <c:pt idx="51">
                  <c:v>0.40013070081925317</c:v>
                </c:pt>
                <c:pt idx="52">
                  <c:v>0.39564482634819564</c:v>
                </c:pt>
                <c:pt idx="53">
                  <c:v>0.38991552847414623</c:v>
                </c:pt>
                <c:pt idx="54">
                  <c:v>0.38447527955197885</c:v>
                </c:pt>
                <c:pt idx="55">
                  <c:v>0.39445646703080417</c:v>
                </c:pt>
                <c:pt idx="56">
                  <c:v>0.39464771560312412</c:v>
                </c:pt>
                <c:pt idx="57">
                  <c:v>0.39734224006703817</c:v>
                </c:pt>
                <c:pt idx="58">
                  <c:v>0.39802217301977899</c:v>
                </c:pt>
                <c:pt idx="59">
                  <c:v>0.39431058562167026</c:v>
                </c:pt>
                <c:pt idx="60">
                  <c:v>0.38721021665783678</c:v>
                </c:pt>
                <c:pt idx="61">
                  <c:v>0.50931874549963996</c:v>
                </c:pt>
              </c:numCache>
            </c:numRef>
          </c:val>
          <c:smooth val="0"/>
          <c:extLst>
            <c:ext xmlns:c16="http://schemas.microsoft.com/office/drawing/2014/chart" uri="{C3380CC4-5D6E-409C-BE32-E72D297353CC}">
              <c16:uniqueId val="{00000001-D8B8-457D-85DC-6242C7B041F0}"/>
            </c:ext>
          </c:extLst>
        </c:ser>
        <c:dLbls>
          <c:showLegendKey val="0"/>
          <c:showVal val="0"/>
          <c:showCatName val="0"/>
          <c:showSerName val="0"/>
          <c:showPercent val="0"/>
          <c:showBubbleSize val="0"/>
        </c:dLbls>
        <c:smooth val="0"/>
        <c:axId val="98206864"/>
        <c:axId val="98191024"/>
      </c:lineChart>
      <c:dateAx>
        <c:axId val="98206864"/>
        <c:scaling>
          <c:orientation val="minMax"/>
        </c:scaling>
        <c:delete val="0"/>
        <c:axPos val="b"/>
        <c:numFmt formatCode="mmm\ 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98191024"/>
        <c:crosses val="autoZero"/>
        <c:auto val="1"/>
        <c:lblOffset val="100"/>
        <c:baseTimeUnit val="months"/>
      </c:dateAx>
      <c:valAx>
        <c:axId val="98191024"/>
        <c:scaling>
          <c:orientation val="minMax"/>
        </c:scaling>
        <c:delete val="0"/>
        <c:axPos val="l"/>
        <c:majorGridlines>
          <c:spPr>
            <a:ln w="9525" cap="flat" cmpd="sng" algn="ctr">
              <a:solidFill>
                <a:schemeClr val="tx2">
                  <a:lumMod val="25000"/>
                  <a:lumOff val="75000"/>
                </a:schemeClr>
              </a:solidFill>
              <a:prstDash val="sysDot"/>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98206864"/>
        <c:crosses val="autoZero"/>
        <c:crossBetween val="between"/>
      </c:valAx>
      <c:spPr>
        <a:solidFill>
          <a:srgbClr val="F1F3F9"/>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44450</xdr:colOff>
      <xdr:row>0</xdr:row>
      <xdr:rowOff>0</xdr:rowOff>
    </xdr:from>
    <xdr:to>
      <xdr:col>16</xdr:col>
      <xdr:colOff>603250</xdr:colOff>
      <xdr:row>26</xdr:row>
      <xdr:rowOff>177800</xdr:rowOff>
    </xdr:to>
    <xdr:graphicFrame macro="">
      <xdr:nvGraphicFramePr>
        <xdr:cNvPr id="2" name="Chart 1">
          <a:extLst>
            <a:ext uri="{FF2B5EF4-FFF2-40B4-BE49-F238E27FC236}">
              <a16:creationId xmlns:a16="http://schemas.microsoft.com/office/drawing/2014/main" id="{F559DB23-717D-3320-BB43-FAF733E60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17</xdr:col>
      <xdr:colOff>6350</xdr:colOff>
      <xdr:row>0</xdr:row>
      <xdr:rowOff>0</xdr:rowOff>
    </xdr:from>
    <xdr:to>
      <xdr:col>19</xdr:col>
      <xdr:colOff>285750</xdr:colOff>
      <xdr:row>25</xdr:row>
      <xdr:rowOff>133350</xdr:rowOff>
    </xdr:to>
    <mc:AlternateContent xmlns:mc="http://schemas.openxmlformats.org/markup-compatibility/2006" xmlns:sle15="http://schemas.microsoft.com/office/drawing/2012/slicer">
      <mc:Choice Requires="sle15">
        <xdr:graphicFrame macro="">
          <xdr:nvGraphicFramePr>
            <xdr:cNvPr id="5" name="Sub Category">
              <a:extLst>
                <a:ext uri="{FF2B5EF4-FFF2-40B4-BE49-F238E27FC236}">
                  <a16:creationId xmlns:a16="http://schemas.microsoft.com/office/drawing/2014/main" id="{60F7A887-4E5F-0FD6-0934-FB063C3C1176}"/>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12204700" y="0"/>
              <a:ext cx="1498600" cy="52641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0</xdr:col>
      <xdr:colOff>25400</xdr:colOff>
      <xdr:row>18</xdr:row>
      <xdr:rowOff>12700</xdr:rowOff>
    </xdr:from>
    <xdr:ext cx="4876800" cy="1835150"/>
    <xdr:sp macro="" textlink="">
      <xdr:nvSpPr>
        <xdr:cNvPr id="6" name="TextBox 5">
          <a:extLst>
            <a:ext uri="{FF2B5EF4-FFF2-40B4-BE49-F238E27FC236}">
              <a16:creationId xmlns:a16="http://schemas.microsoft.com/office/drawing/2014/main" id="{EFBB3461-AA72-6B27-3A39-B4622642549F}"/>
            </a:ext>
          </a:extLst>
        </xdr:cNvPr>
        <xdr:cNvSpPr txBox="1"/>
      </xdr:nvSpPr>
      <xdr:spPr>
        <a:xfrm>
          <a:off x="25400" y="3784600"/>
          <a:ext cx="4876800" cy="1835150"/>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GB" sz="1100" b="1">
              <a:solidFill>
                <a:schemeClr val="tx1">
                  <a:lumMod val="95000"/>
                  <a:lumOff val="5000"/>
                </a:schemeClr>
              </a:solidFill>
              <a:latin typeface="Segoe UI" panose="020B0502040204020203" pitchFamily="34" charset="0"/>
              <a:cs typeface="Segoe UI" panose="020B0502040204020203" pitchFamily="34" charset="0"/>
            </a:rPr>
            <a:t>Executive summary</a:t>
          </a:r>
        </a:p>
        <a:p>
          <a:pPr algn="l"/>
          <a:r>
            <a:rPr lang="en-GB" sz="1100" b="1">
              <a:solidFill>
                <a:schemeClr val="tx1">
                  <a:lumMod val="95000"/>
                  <a:lumOff val="5000"/>
                </a:schemeClr>
              </a:solidFill>
              <a:latin typeface="Segoe UI" panose="020B0502040204020203" pitchFamily="34" charset="0"/>
              <a:cs typeface="Segoe UI" panose="020B0502040204020203" pitchFamily="34" charset="0"/>
            </a:rPr>
            <a:t>Road Bikes and Mountain Bikes</a:t>
          </a:r>
          <a:r>
            <a:rPr lang="en-GB" sz="1100">
              <a:solidFill>
                <a:schemeClr val="tx1">
                  <a:lumMod val="95000"/>
                  <a:lumOff val="5000"/>
                </a:schemeClr>
              </a:solidFill>
              <a:latin typeface="Segoe UI" panose="020B0502040204020203" pitchFamily="34" charset="0"/>
              <a:cs typeface="Segoe UI" panose="020B0502040204020203" pitchFamily="34" charset="0"/>
            </a:rPr>
            <a:t> generate the highest revenue and profit, significantly outperforming all other sub-categories.</a:t>
          </a:r>
        </a:p>
        <a:p>
          <a:pPr algn="l"/>
          <a:r>
            <a:rPr lang="en-GB" sz="1100" b="1">
              <a:solidFill>
                <a:schemeClr val="tx1">
                  <a:lumMod val="95000"/>
                  <a:lumOff val="5000"/>
                </a:schemeClr>
              </a:solidFill>
              <a:latin typeface="Segoe UI" panose="020B0502040204020203" pitchFamily="34" charset="0"/>
              <a:cs typeface="Segoe UI" panose="020B0502040204020203" pitchFamily="34" charset="0"/>
            </a:rPr>
            <a:t>Accessories</a:t>
          </a:r>
          <a:r>
            <a:rPr lang="en-GB" sz="1100">
              <a:solidFill>
                <a:schemeClr val="tx1">
                  <a:lumMod val="95000"/>
                  <a:lumOff val="5000"/>
                </a:schemeClr>
              </a:solidFill>
              <a:latin typeface="Segoe UI" panose="020B0502040204020203" pitchFamily="34" charset="0"/>
              <a:cs typeface="Segoe UI" panose="020B0502040204020203" pitchFamily="34" charset="0"/>
            </a:rPr>
            <a:t> show moderate revenue contribution but relatively strong profit margins in selected sub-categories (e.g. Helmets, Tires &amp; Tubes).</a:t>
          </a:r>
        </a:p>
        <a:p>
          <a:pPr algn="l"/>
          <a:r>
            <a:rPr lang="en-GB" sz="1100" b="1">
              <a:solidFill>
                <a:schemeClr val="tx1">
                  <a:lumMod val="95000"/>
                  <a:lumOff val="5000"/>
                </a:schemeClr>
              </a:solidFill>
              <a:latin typeface="Segoe UI" panose="020B0502040204020203" pitchFamily="34" charset="0"/>
              <a:cs typeface="Segoe UI" panose="020B0502040204020203" pitchFamily="34" charset="0"/>
            </a:rPr>
            <a:t>Clothing</a:t>
          </a:r>
          <a:r>
            <a:rPr lang="en-GB" sz="1100">
              <a:solidFill>
                <a:schemeClr val="tx1">
                  <a:lumMod val="95000"/>
                  <a:lumOff val="5000"/>
                </a:schemeClr>
              </a:solidFill>
              <a:latin typeface="Segoe UI" panose="020B0502040204020203" pitchFamily="34" charset="0"/>
              <a:cs typeface="Segoe UI" panose="020B0502040204020203" pitchFamily="34" charset="0"/>
            </a:rPr>
            <a:t> sub-categories generate lower revenue overall, indicating a supporting rather than core revenue role.</a:t>
          </a:r>
        </a:p>
        <a:p>
          <a:pPr algn="l"/>
          <a:r>
            <a:rPr lang="en-GB" sz="1100">
              <a:solidFill>
                <a:schemeClr val="tx1">
                  <a:lumMod val="95000"/>
                  <a:lumOff val="5000"/>
                </a:schemeClr>
              </a:solidFill>
              <a:latin typeface="Segoe UI" panose="020B0502040204020203" pitchFamily="34" charset="0"/>
              <a:cs typeface="Segoe UI" panose="020B0502040204020203" pitchFamily="34" charset="0"/>
            </a:rPr>
            <a:t>The sales portfolio is heavily driven by </a:t>
          </a:r>
          <a:r>
            <a:rPr lang="en-GB" sz="1100" b="1">
              <a:solidFill>
                <a:schemeClr val="tx1">
                  <a:lumMod val="95000"/>
                  <a:lumOff val="5000"/>
                </a:schemeClr>
              </a:solidFill>
              <a:latin typeface="Segoe UI" panose="020B0502040204020203" pitchFamily="34" charset="0"/>
              <a:cs typeface="Segoe UI" panose="020B0502040204020203" pitchFamily="34" charset="0"/>
            </a:rPr>
            <a:t>high-value bike products</a:t>
          </a:r>
          <a:r>
            <a:rPr lang="en-GB" sz="1100">
              <a:solidFill>
                <a:schemeClr val="tx1">
                  <a:lumMod val="95000"/>
                  <a:lumOff val="5000"/>
                </a:schemeClr>
              </a:solidFill>
              <a:latin typeface="Segoe UI" panose="020B0502040204020203" pitchFamily="34" charset="0"/>
              <a:cs typeface="Segoe UI" panose="020B0502040204020203" pitchFamily="34" charset="0"/>
            </a:rPr>
            <a:t>, while accessories and clothing complement total performance.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15878</xdr:colOff>
      <xdr:row>0</xdr:row>
      <xdr:rowOff>29105</xdr:rowOff>
    </xdr:from>
    <xdr:to>
      <xdr:col>11</xdr:col>
      <xdr:colOff>206376</xdr:colOff>
      <xdr:row>25</xdr:row>
      <xdr:rowOff>7938</xdr:rowOff>
    </xdr:to>
    <xdr:graphicFrame macro="">
      <xdr:nvGraphicFramePr>
        <xdr:cNvPr id="2" name="Chart 1">
          <a:extLst>
            <a:ext uri="{FF2B5EF4-FFF2-40B4-BE49-F238E27FC236}">
              <a16:creationId xmlns:a16="http://schemas.microsoft.com/office/drawing/2014/main" id="{4BB87EF4-3EBA-2ECC-028B-F241C86D8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996599</xdr:colOff>
      <xdr:row>3</xdr:row>
      <xdr:rowOff>178795</xdr:rowOff>
    </xdr:from>
    <xdr:ext cx="1305276" cy="1392831"/>
    <xdr:sp macro="" textlink="">
      <xdr:nvSpPr>
        <xdr:cNvPr id="3" name="TextBox 2">
          <a:extLst>
            <a:ext uri="{FF2B5EF4-FFF2-40B4-BE49-F238E27FC236}">
              <a16:creationId xmlns:a16="http://schemas.microsoft.com/office/drawing/2014/main" id="{B3232398-7F5D-820A-5665-9DB74982EE47}"/>
            </a:ext>
          </a:extLst>
        </xdr:cNvPr>
        <xdr:cNvSpPr txBox="1"/>
      </xdr:nvSpPr>
      <xdr:spPr>
        <a:xfrm>
          <a:off x="996599" y="845545"/>
          <a:ext cx="1305276" cy="1392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GB" sz="1100">
              <a:latin typeface="Segoe UI" panose="020B0502040204020203" pitchFamily="34" charset="0"/>
              <a:cs typeface="Segoe UI" panose="020B0502040204020203" pitchFamily="34" charset="0"/>
            </a:rPr>
            <a:t>This graph answers the question:</a:t>
          </a:r>
        </a:p>
        <a:p>
          <a:pPr algn="l"/>
          <a:r>
            <a:rPr lang="en-GB" sz="1100">
              <a:latin typeface="Segoe UI" panose="020B0502040204020203" pitchFamily="34" charset="0"/>
              <a:cs typeface="Segoe UI" panose="020B0502040204020203" pitchFamily="34" charset="0"/>
            </a:rPr>
            <a:t>How is revenue distributed across age groups and genders overall?</a:t>
          </a:r>
        </a:p>
      </xdr:txBody>
    </xdr:sp>
    <xdr:clientData/>
  </xdr:oneCellAnchor>
  <xdr:twoCellAnchor editAs="oneCell">
    <xdr:from>
      <xdr:col>5</xdr:col>
      <xdr:colOff>363185</xdr:colOff>
      <xdr:row>4</xdr:row>
      <xdr:rowOff>1060</xdr:rowOff>
    </xdr:from>
    <xdr:to>
      <xdr:col>6</xdr:col>
      <xdr:colOff>523874</xdr:colOff>
      <xdr:row>13</xdr:row>
      <xdr:rowOff>142876</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B89BB36F-844F-DB76-BE06-CB681F88BD9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133748" y="890060"/>
              <a:ext cx="1240189" cy="21420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0.31594</cdr:x>
      <cdr:y>0.08538</cdr:y>
    </cdr:from>
    <cdr:to>
      <cdr:x>0.66615</cdr:x>
      <cdr:y>0.13085</cdr:y>
    </cdr:to>
    <cdr:sp macro="" textlink="">
      <cdr:nvSpPr>
        <cdr:cNvPr id="3" name="TextBox 2">
          <a:extLst xmlns:a="http://schemas.openxmlformats.org/drawingml/2006/main">
            <a:ext uri="{FF2B5EF4-FFF2-40B4-BE49-F238E27FC236}">
              <a16:creationId xmlns:a16="http://schemas.microsoft.com/office/drawing/2014/main" id="{D07D18E9-8588-628C-4626-BE1E0C931911}"/>
            </a:ext>
          </a:extLst>
        </cdr:cNvPr>
        <cdr:cNvSpPr txBox="1"/>
      </cdr:nvSpPr>
      <cdr:spPr>
        <a:xfrm xmlns:a="http://schemas.openxmlformats.org/drawingml/2006/main">
          <a:off x="3382941" y="498818"/>
          <a:ext cx="3749949" cy="265586"/>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GB" sz="1600" kern="1200">
              <a:solidFill>
                <a:schemeClr val="tx1">
                  <a:lumMod val="85000"/>
                  <a:lumOff val="15000"/>
                </a:schemeClr>
              </a:solidFill>
              <a:latin typeface="Segoe UI" panose="020B0502040204020203" pitchFamily="34" charset="0"/>
              <a:cs typeface="Segoe UI" panose="020B0502040204020203" pitchFamily="34" charset="0"/>
            </a:rPr>
            <a:t>Aggregated across all </a:t>
          </a:r>
          <a:r>
            <a:rPr lang="en-GB" sz="1400" kern="1200">
              <a:solidFill>
                <a:schemeClr val="tx1">
                  <a:lumMod val="85000"/>
                  <a:lumOff val="15000"/>
                </a:schemeClr>
              </a:solidFill>
              <a:latin typeface="Segoe UI" panose="020B0502040204020203" pitchFamily="34" charset="0"/>
              <a:cs typeface="Segoe UI" panose="020B0502040204020203" pitchFamily="34" charset="0"/>
            </a:rPr>
            <a:t>countries</a:t>
          </a:r>
        </a:p>
        <a:p xmlns:a="http://schemas.openxmlformats.org/drawingml/2006/main">
          <a:endParaRPr lang="en-GB" sz="1100" kern="1200"/>
        </a:p>
      </cdr:txBody>
    </cdr:sp>
  </cdr:relSizeAnchor>
  <cdr:relSizeAnchor xmlns:cdr="http://schemas.openxmlformats.org/drawingml/2006/chartDrawing">
    <cdr:from>
      <cdr:x>0.73605</cdr:x>
      <cdr:y>0.19857</cdr:y>
    </cdr:from>
    <cdr:to>
      <cdr:x>0.95523</cdr:x>
      <cdr:y>0.9239</cdr:y>
    </cdr:to>
    <cdr:sp macro="" textlink="">
      <cdr:nvSpPr>
        <cdr:cNvPr id="5" name="TextBox 4">
          <a:extLst xmlns:a="http://schemas.openxmlformats.org/drawingml/2006/main">
            <a:ext uri="{FF2B5EF4-FFF2-40B4-BE49-F238E27FC236}">
              <a16:creationId xmlns:a16="http://schemas.microsoft.com/office/drawing/2014/main" id="{3BB01796-F4AF-65C7-9977-1C4E83BBAAE8}"/>
            </a:ext>
          </a:extLst>
        </cdr:cNvPr>
        <cdr:cNvSpPr txBox="1"/>
      </cdr:nvSpPr>
      <cdr:spPr>
        <a:xfrm xmlns:a="http://schemas.openxmlformats.org/drawingml/2006/main">
          <a:off x="7676286" y="1160073"/>
          <a:ext cx="2285827" cy="4237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200" b="1">
              <a:latin typeface="Segoe UI" panose="020B0502040204020203" pitchFamily="34" charset="0"/>
              <a:cs typeface="Segoe UI" panose="020B0502040204020203" pitchFamily="34" charset="0"/>
            </a:rPr>
            <a:t>Executive summary</a:t>
          </a:r>
          <a:br>
            <a:rPr lang="ru-RU" sz="1200" b="1">
              <a:latin typeface="Segoe UI" panose="020B0502040204020203" pitchFamily="34" charset="0"/>
              <a:cs typeface="Segoe UI" panose="020B0502040204020203" pitchFamily="34" charset="0"/>
            </a:rPr>
          </a:br>
          <a:endParaRPr lang="en-GB" sz="1200" b="1">
            <a:latin typeface="Segoe UI" panose="020B0502040204020203" pitchFamily="34" charset="0"/>
            <a:cs typeface="Segoe UI" panose="020B0502040204020203" pitchFamily="34" charset="0"/>
          </a:endParaRPr>
        </a:p>
        <a:p xmlns:a="http://schemas.openxmlformats.org/drawingml/2006/main">
          <a:r>
            <a:rPr lang="en-GB" sz="1200" b="1">
              <a:latin typeface="Segoe UI" panose="020B0502040204020203" pitchFamily="34" charset="0"/>
              <a:cs typeface="Segoe UI" panose="020B0502040204020203" pitchFamily="34" charset="0"/>
            </a:rPr>
            <a:t>Adults (35–64)</a:t>
          </a:r>
          <a:r>
            <a:rPr lang="en-GB" sz="1200">
              <a:latin typeface="Segoe UI" panose="020B0502040204020203" pitchFamily="34" charset="0"/>
              <a:cs typeface="Segoe UI" panose="020B0502040204020203" pitchFamily="34" charset="0"/>
            </a:rPr>
            <a:t> are the primary revenue drivers across all countries, contributing the largest share for both genders.</a:t>
          </a:r>
          <a:br>
            <a:rPr lang="ru-RU" sz="1200">
              <a:latin typeface="Segoe UI" panose="020B0502040204020203" pitchFamily="34" charset="0"/>
              <a:cs typeface="Segoe UI" panose="020B0502040204020203" pitchFamily="34" charset="0"/>
            </a:rPr>
          </a:br>
          <a:endParaRPr lang="en-GB" sz="1200">
            <a:latin typeface="Segoe UI" panose="020B0502040204020203" pitchFamily="34" charset="0"/>
            <a:cs typeface="Segoe UI" panose="020B0502040204020203" pitchFamily="34" charset="0"/>
          </a:endParaRPr>
        </a:p>
        <a:p xmlns:a="http://schemas.openxmlformats.org/drawingml/2006/main">
          <a:r>
            <a:rPr lang="en-GB" sz="1200" b="1">
              <a:latin typeface="Segoe UI" panose="020B0502040204020203" pitchFamily="34" charset="0"/>
              <a:cs typeface="Segoe UI" panose="020B0502040204020203" pitchFamily="34" charset="0"/>
            </a:rPr>
            <a:t>Young Adults (25–34)</a:t>
          </a:r>
          <a:r>
            <a:rPr lang="en-GB" sz="1200">
              <a:latin typeface="Segoe UI" panose="020B0502040204020203" pitchFamily="34" charset="0"/>
              <a:cs typeface="Segoe UI" panose="020B0502040204020203" pitchFamily="34" charset="0"/>
            </a:rPr>
            <a:t> form the second most valuable segment, with consistently strong revenue performance.</a:t>
          </a:r>
        </a:p>
        <a:p xmlns:a="http://schemas.openxmlformats.org/drawingml/2006/main">
          <a:r>
            <a:rPr lang="en-GB" sz="1200">
              <a:latin typeface="Segoe UI" panose="020B0502040204020203" pitchFamily="34" charset="0"/>
              <a:cs typeface="Segoe UI" panose="020B0502040204020203" pitchFamily="34" charset="0"/>
            </a:rPr>
            <a:t>Revenue patterns are broadly similar for men and women, with </a:t>
          </a:r>
          <a:r>
            <a:rPr lang="en-GB" sz="1200" b="1">
              <a:latin typeface="Segoe UI" panose="020B0502040204020203" pitchFamily="34" charset="0"/>
              <a:cs typeface="Segoe UI" panose="020B0502040204020203" pitchFamily="34" charset="0"/>
            </a:rPr>
            <a:t>only minor gender gaps</a:t>
          </a:r>
          <a:r>
            <a:rPr lang="en-GB" sz="1200">
              <a:latin typeface="Segoe UI" panose="020B0502040204020203" pitchFamily="34" charset="0"/>
              <a:cs typeface="Segoe UI" panose="020B0502040204020203" pitchFamily="34" charset="0"/>
            </a:rPr>
            <a:t> that vary by country.</a:t>
          </a:r>
          <a:br>
            <a:rPr lang="ru-RU" sz="1200">
              <a:latin typeface="Segoe UI" panose="020B0502040204020203" pitchFamily="34" charset="0"/>
              <a:cs typeface="Segoe UI" panose="020B0502040204020203" pitchFamily="34" charset="0"/>
            </a:rPr>
          </a:br>
          <a:endParaRPr lang="en-GB" sz="1200">
            <a:latin typeface="Segoe UI" panose="020B0502040204020203" pitchFamily="34" charset="0"/>
            <a:cs typeface="Segoe UI" panose="020B0502040204020203" pitchFamily="34" charset="0"/>
          </a:endParaRPr>
        </a:p>
        <a:p xmlns:a="http://schemas.openxmlformats.org/drawingml/2006/main">
          <a:r>
            <a:rPr lang="en-GB" sz="1200" b="1">
              <a:latin typeface="Segoe UI" panose="020B0502040204020203" pitchFamily="34" charset="0"/>
              <a:cs typeface="Segoe UI" panose="020B0502040204020203" pitchFamily="34" charset="0"/>
            </a:rPr>
            <a:t>Youth (&lt;25)</a:t>
          </a:r>
          <a:r>
            <a:rPr lang="en-GB" sz="1200">
              <a:latin typeface="Segoe UI" panose="020B0502040204020203" pitchFamily="34" charset="0"/>
              <a:cs typeface="Segoe UI" panose="020B0502040204020203" pitchFamily="34" charset="0"/>
            </a:rPr>
            <a:t> and </a:t>
          </a:r>
          <a:r>
            <a:rPr lang="en-GB" sz="1200" b="1">
              <a:latin typeface="Segoe UI" panose="020B0502040204020203" pitchFamily="34" charset="0"/>
              <a:cs typeface="Segoe UI" panose="020B0502040204020203" pitchFamily="34" charset="0"/>
            </a:rPr>
            <a:t>Seniors (64+)</a:t>
          </a:r>
          <a:r>
            <a:rPr lang="en-GB" sz="1200">
              <a:latin typeface="Segoe UI" panose="020B0502040204020203" pitchFamily="34" charset="0"/>
              <a:cs typeface="Segoe UI" panose="020B0502040204020203" pitchFamily="34" charset="0"/>
            </a:rPr>
            <a:t> generate comparatively low revenue, indicating limited commercial impact across markets.</a:t>
          </a:r>
        </a:p>
        <a:p xmlns:a="http://schemas.openxmlformats.org/drawingml/2006/main">
          <a:endParaRPr lang="en-GB" sz="1200" kern="1200">
            <a:latin typeface="Segoe UI" panose="020B0502040204020203" pitchFamily="34" charset="0"/>
            <a:cs typeface="Segoe UI" panose="020B0502040204020203"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23284</xdr:colOff>
      <xdr:row>0</xdr:row>
      <xdr:rowOff>28222</xdr:rowOff>
    </xdr:from>
    <xdr:to>
      <xdr:col>5</xdr:col>
      <xdr:colOff>434840</xdr:colOff>
      <xdr:row>17</xdr:row>
      <xdr:rowOff>149666</xdr:rowOff>
    </xdr:to>
    <xdr:graphicFrame macro="">
      <xdr:nvGraphicFramePr>
        <xdr:cNvPr id="2" name="Chart 1">
          <a:extLst>
            <a:ext uri="{FF2B5EF4-FFF2-40B4-BE49-F238E27FC236}">
              <a16:creationId xmlns:a16="http://schemas.microsoft.com/office/drawing/2014/main" id="{ECA79D43-62A8-7CEE-0948-DFEEA77B4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500239</xdr:colOff>
      <xdr:row>0</xdr:row>
      <xdr:rowOff>33866</xdr:rowOff>
    </xdr:from>
    <xdr:to>
      <xdr:col>10</xdr:col>
      <xdr:colOff>784794</xdr:colOff>
      <xdr:row>17</xdr:row>
      <xdr:rowOff>155310</xdr:rowOff>
    </xdr:to>
    <xdr:graphicFrame macro="">
      <xdr:nvGraphicFramePr>
        <xdr:cNvPr id="3" name="Chart 2">
          <a:extLst>
            <a:ext uri="{FF2B5EF4-FFF2-40B4-BE49-F238E27FC236}">
              <a16:creationId xmlns:a16="http://schemas.microsoft.com/office/drawing/2014/main" id="{5DBAD319-56AE-448D-B20F-AA2B03BA2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7761</xdr:colOff>
      <xdr:row>18</xdr:row>
      <xdr:rowOff>5644</xdr:rowOff>
    </xdr:from>
    <xdr:to>
      <xdr:col>5</xdr:col>
      <xdr:colOff>419317</xdr:colOff>
      <xdr:row>35</xdr:row>
      <xdr:rowOff>127088</xdr:rowOff>
    </xdr:to>
    <xdr:graphicFrame macro="">
      <xdr:nvGraphicFramePr>
        <xdr:cNvPr id="4" name="Chart 3">
          <a:extLst>
            <a:ext uri="{FF2B5EF4-FFF2-40B4-BE49-F238E27FC236}">
              <a16:creationId xmlns:a16="http://schemas.microsoft.com/office/drawing/2014/main" id="{BF1CCD74-7CA3-0794-6F9B-484BC26B1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478367</xdr:colOff>
      <xdr:row>18</xdr:row>
      <xdr:rowOff>12699</xdr:rowOff>
    </xdr:from>
    <xdr:to>
      <xdr:col>10</xdr:col>
      <xdr:colOff>762922</xdr:colOff>
      <xdr:row>35</xdr:row>
      <xdr:rowOff>134143</xdr:rowOff>
    </xdr:to>
    <xdr:graphicFrame macro="">
      <xdr:nvGraphicFramePr>
        <xdr:cNvPr id="5" name="Chart 4">
          <a:extLst>
            <a:ext uri="{FF2B5EF4-FFF2-40B4-BE49-F238E27FC236}">
              <a16:creationId xmlns:a16="http://schemas.microsoft.com/office/drawing/2014/main" id="{D780E1AF-D63F-3728-3DFB-F3229A307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853721</xdr:colOff>
      <xdr:row>0</xdr:row>
      <xdr:rowOff>98777</xdr:rowOff>
    </xdr:from>
    <xdr:ext cx="3316112" cy="6469945"/>
    <xdr:sp macro="" textlink="">
      <xdr:nvSpPr>
        <xdr:cNvPr id="7" name="TextBox 6">
          <a:extLst>
            <a:ext uri="{FF2B5EF4-FFF2-40B4-BE49-F238E27FC236}">
              <a16:creationId xmlns:a16="http://schemas.microsoft.com/office/drawing/2014/main" id="{3A34F9D9-27B4-7EF3-F39D-52D6E0C31FB8}"/>
            </a:ext>
          </a:extLst>
        </xdr:cNvPr>
        <xdr:cNvSpPr txBox="1"/>
      </xdr:nvSpPr>
      <xdr:spPr>
        <a:xfrm>
          <a:off x="10237610" y="98777"/>
          <a:ext cx="3316112" cy="6469945"/>
        </a:xfrm>
        <a:prstGeom prst="rect">
          <a:avLst/>
        </a:prstGeom>
        <a:solidFill>
          <a:srgbClr val="F1F7F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b="1">
              <a:solidFill>
                <a:srgbClr val="0070C0"/>
              </a:solidFill>
              <a:latin typeface="Segoe UI" panose="020B0502040204020203" pitchFamily="34" charset="0"/>
              <a:cs typeface="Segoe UI" panose="020B0502040204020203" pitchFamily="34" charset="0"/>
            </a:rPr>
            <a:t>Overall performance overview</a:t>
          </a:r>
          <a:endParaRPr lang="en-GB" sz="1200">
            <a:solidFill>
              <a:srgbClr val="0070C0"/>
            </a:solidFill>
            <a:latin typeface="Segoe UI" panose="020B0502040204020203" pitchFamily="34" charset="0"/>
            <a:cs typeface="Segoe UI" panose="020B0502040204020203" pitchFamily="34" charset="0"/>
          </a:endParaRPr>
        </a:p>
        <a:p>
          <a:r>
            <a:rPr lang="en-GB" sz="1050" b="1">
              <a:solidFill>
                <a:schemeClr val="tx1"/>
              </a:solidFill>
              <a:latin typeface="Segoe UI" panose="020B0502040204020203" pitchFamily="34" charset="0"/>
              <a:cs typeface="Segoe UI" panose="020B0502040204020203" pitchFamily="34" charset="0"/>
            </a:rPr>
            <a:t>The United States</a:t>
          </a:r>
          <a:r>
            <a:rPr lang="en-GB" sz="1050">
              <a:solidFill>
                <a:schemeClr val="tx1"/>
              </a:solidFill>
              <a:latin typeface="Segoe UI" panose="020B0502040204020203" pitchFamily="34" charset="0"/>
              <a:cs typeface="Segoe UI" panose="020B0502040204020203" pitchFamily="34" charset="0"/>
            </a:rPr>
            <a:t> is the clear market leader, generating the highest </a:t>
          </a:r>
          <a:r>
            <a:rPr lang="en-GB" sz="1050" b="1">
              <a:solidFill>
                <a:schemeClr val="tx1"/>
              </a:solidFill>
              <a:latin typeface="Segoe UI" panose="020B0502040204020203" pitchFamily="34" charset="0"/>
              <a:cs typeface="Segoe UI" panose="020B0502040204020203" pitchFamily="34" charset="0"/>
            </a:rPr>
            <a:t>revenue, profit, and unit sales</a:t>
          </a:r>
          <a:r>
            <a:rPr lang="en-GB" sz="1050">
              <a:solidFill>
                <a:schemeClr val="tx1"/>
              </a:solidFill>
              <a:latin typeface="Segoe UI" panose="020B0502040204020203" pitchFamily="34" charset="0"/>
              <a:cs typeface="Segoe UI" panose="020B0502040204020203" pitchFamily="34" charset="0"/>
            </a:rPr>
            <a:t>, significantly outperforming all other countries.</a:t>
          </a:r>
        </a:p>
        <a:p>
          <a:r>
            <a:rPr lang="en-GB" sz="1050" b="1">
              <a:solidFill>
                <a:schemeClr val="tx1"/>
              </a:solidFill>
              <a:latin typeface="Segoe UI" panose="020B0502040204020203" pitchFamily="34" charset="0"/>
              <a:cs typeface="Segoe UI" panose="020B0502040204020203" pitchFamily="34" charset="0"/>
            </a:rPr>
            <a:t>Australia and the United Kingdom</a:t>
          </a:r>
          <a:r>
            <a:rPr lang="en-GB" sz="1050">
              <a:solidFill>
                <a:schemeClr val="tx1"/>
              </a:solidFill>
              <a:latin typeface="Segoe UI" panose="020B0502040204020203" pitchFamily="34" charset="0"/>
              <a:cs typeface="Segoe UI" panose="020B0502040204020203" pitchFamily="34" charset="0"/>
            </a:rPr>
            <a:t> form a strong second tier, with solid profitability despite lower total volumes compared to the US.</a:t>
          </a:r>
        </a:p>
        <a:p>
          <a:r>
            <a:rPr lang="en-GB" sz="1050" b="1">
              <a:solidFill>
                <a:schemeClr val="tx1"/>
              </a:solidFill>
              <a:latin typeface="Segoe UI" panose="020B0502040204020203" pitchFamily="34" charset="0"/>
              <a:cs typeface="Segoe UI" panose="020B0502040204020203" pitchFamily="34" charset="0"/>
            </a:rPr>
            <a:t>Germany and France</a:t>
          </a:r>
          <a:r>
            <a:rPr lang="en-GB" sz="1050">
              <a:solidFill>
                <a:schemeClr val="tx1"/>
              </a:solidFill>
              <a:latin typeface="Segoe UI" panose="020B0502040204020203" pitchFamily="34" charset="0"/>
              <a:cs typeface="Segoe UI" panose="020B0502040204020203" pitchFamily="34" charset="0"/>
            </a:rPr>
            <a:t> show moderate performance, while </a:t>
          </a:r>
          <a:r>
            <a:rPr lang="en-GB" sz="1050" b="1">
              <a:solidFill>
                <a:schemeClr val="tx1"/>
              </a:solidFill>
              <a:latin typeface="Segoe UI" panose="020B0502040204020203" pitchFamily="34" charset="0"/>
              <a:cs typeface="Segoe UI" panose="020B0502040204020203" pitchFamily="34" charset="0"/>
            </a:rPr>
            <a:t>Canada</a:t>
          </a:r>
          <a:r>
            <a:rPr lang="en-GB" sz="1050">
              <a:solidFill>
                <a:schemeClr val="tx1"/>
              </a:solidFill>
              <a:latin typeface="Segoe UI" panose="020B0502040204020203" pitchFamily="34" charset="0"/>
              <a:cs typeface="Segoe UI" panose="020B0502040204020203" pitchFamily="34" charset="0"/>
            </a:rPr>
            <a:t> contributes the smallest share of total profit and revenue.</a:t>
          </a:r>
        </a:p>
        <a:p>
          <a:r>
            <a:rPr lang="en-GB" sz="1050" b="1">
              <a:solidFill>
                <a:schemeClr val="tx1"/>
              </a:solidFill>
              <a:latin typeface="Segoe UI" panose="020B0502040204020203" pitchFamily="34" charset="0"/>
              <a:cs typeface="Segoe UI" panose="020B0502040204020203" pitchFamily="34" charset="0"/>
            </a:rPr>
            <a:t>Units vs value insight</a:t>
          </a:r>
          <a:endParaRPr lang="en-GB" sz="1050">
            <a:solidFill>
              <a:schemeClr val="tx1"/>
            </a:solidFill>
            <a:latin typeface="Segoe UI" panose="020B0502040204020203" pitchFamily="34" charset="0"/>
            <a:cs typeface="Segoe UI" panose="020B0502040204020203" pitchFamily="34" charset="0"/>
          </a:endParaRPr>
        </a:p>
        <a:p>
          <a:r>
            <a:rPr lang="en-GB" sz="1050">
              <a:solidFill>
                <a:schemeClr val="tx1"/>
              </a:solidFill>
              <a:latin typeface="Segoe UI" panose="020B0502040204020203" pitchFamily="34" charset="0"/>
              <a:cs typeface="Segoe UI" panose="020B0502040204020203" pitchFamily="34" charset="0"/>
            </a:rPr>
            <a:t>Unit sales increased sharply after </a:t>
          </a:r>
          <a:r>
            <a:rPr lang="en-GB" sz="1050" b="1">
              <a:solidFill>
                <a:schemeClr val="tx1"/>
              </a:solidFill>
              <a:latin typeface="Segoe UI" panose="020B0502040204020203" pitchFamily="34" charset="0"/>
              <a:cs typeface="Segoe UI" panose="020B0502040204020203" pitchFamily="34" charset="0"/>
            </a:rPr>
            <a:t>2013</a:t>
          </a:r>
          <a:r>
            <a:rPr lang="en-GB" sz="1050">
              <a:solidFill>
                <a:schemeClr val="tx1"/>
              </a:solidFill>
              <a:latin typeface="Segoe UI" panose="020B0502040204020203" pitchFamily="34" charset="0"/>
              <a:cs typeface="Segoe UI" panose="020B0502040204020203" pitchFamily="34" charset="0"/>
            </a:rPr>
            <a:t>, peaking in </a:t>
          </a:r>
          <a:r>
            <a:rPr lang="en-GB" sz="1050" b="1">
              <a:solidFill>
                <a:schemeClr val="tx1"/>
              </a:solidFill>
              <a:latin typeface="Segoe UI" panose="020B0502040204020203" pitchFamily="34" charset="0"/>
              <a:cs typeface="Segoe UI" panose="020B0502040204020203" pitchFamily="34" charset="0"/>
            </a:rPr>
            <a:t>2014 and 2016</a:t>
          </a:r>
          <a:r>
            <a:rPr lang="en-GB" sz="1050">
              <a:solidFill>
                <a:schemeClr val="tx1"/>
              </a:solidFill>
              <a:latin typeface="Segoe UI" panose="020B0502040204020203" pitchFamily="34" charset="0"/>
              <a:cs typeface="Segoe UI" panose="020B0502040204020203" pitchFamily="34" charset="0"/>
            </a:rPr>
            <a:t>, indicating a period of strong demand expansion.</a:t>
          </a:r>
        </a:p>
        <a:p>
          <a:r>
            <a:rPr lang="en-GB" sz="1050">
              <a:solidFill>
                <a:schemeClr val="tx1"/>
              </a:solidFill>
              <a:latin typeface="Segoe UI" panose="020B0502040204020203" pitchFamily="34" charset="0"/>
              <a:cs typeface="Segoe UI" panose="020B0502040204020203" pitchFamily="34" charset="0"/>
            </a:rPr>
            <a:t>Higher unit volumes do not always translate proportionally into profit, highlighting differences in pricing and margin structures across countries.</a:t>
          </a:r>
        </a:p>
        <a:p>
          <a:r>
            <a:rPr lang="en-GB" sz="1050" b="1">
              <a:solidFill>
                <a:schemeClr val="tx1"/>
              </a:solidFill>
              <a:latin typeface="Segoe UI" panose="020B0502040204020203" pitchFamily="34" charset="0"/>
              <a:cs typeface="Segoe UI" panose="020B0502040204020203" pitchFamily="34" charset="0"/>
            </a:rPr>
            <a:t>Gender split insights</a:t>
          </a:r>
          <a:endParaRPr lang="en-GB" sz="1050">
            <a:solidFill>
              <a:schemeClr val="tx1"/>
            </a:solidFill>
            <a:latin typeface="Segoe UI" panose="020B0502040204020203" pitchFamily="34" charset="0"/>
            <a:cs typeface="Segoe UI" panose="020B0502040204020203" pitchFamily="34" charset="0"/>
          </a:endParaRPr>
        </a:p>
        <a:p>
          <a:r>
            <a:rPr lang="en-GB" sz="1050">
              <a:solidFill>
                <a:schemeClr val="tx1"/>
              </a:solidFill>
              <a:latin typeface="Segoe UI" panose="020B0502040204020203" pitchFamily="34" charset="0"/>
              <a:cs typeface="Segoe UI" panose="020B0502040204020203" pitchFamily="34" charset="0"/>
            </a:rPr>
            <a:t>Revenue and profit contributions from </a:t>
          </a:r>
          <a:r>
            <a:rPr lang="en-GB" sz="1050" b="1">
              <a:solidFill>
                <a:schemeClr val="tx1"/>
              </a:solidFill>
              <a:latin typeface="Segoe UI" panose="020B0502040204020203" pitchFamily="34" charset="0"/>
              <a:cs typeface="Segoe UI" panose="020B0502040204020203" pitchFamily="34" charset="0"/>
            </a:rPr>
            <a:t>male and female customers are broadly balanced</a:t>
          </a:r>
          <a:r>
            <a:rPr lang="en-GB" sz="1050">
              <a:solidFill>
                <a:schemeClr val="tx1"/>
              </a:solidFill>
              <a:latin typeface="Segoe UI" panose="020B0502040204020203" pitchFamily="34" charset="0"/>
              <a:cs typeface="Segoe UI" panose="020B0502040204020203" pitchFamily="34" charset="0"/>
            </a:rPr>
            <a:t> across countries.</a:t>
          </a:r>
        </a:p>
        <a:p>
          <a:r>
            <a:rPr lang="en-GB" sz="1050">
              <a:solidFill>
                <a:schemeClr val="tx1"/>
              </a:solidFill>
              <a:latin typeface="Segoe UI" panose="020B0502040204020203" pitchFamily="34" charset="0"/>
              <a:cs typeface="Segoe UI" panose="020B0502040204020203" pitchFamily="34" charset="0"/>
            </a:rPr>
            <a:t>In high-performing markets (notably the </a:t>
          </a:r>
          <a:r>
            <a:rPr lang="en-GB" sz="1050" b="1">
              <a:solidFill>
                <a:schemeClr val="tx1"/>
              </a:solidFill>
              <a:latin typeface="Segoe UI" panose="020B0502040204020203" pitchFamily="34" charset="0"/>
              <a:cs typeface="Segoe UI" panose="020B0502040204020203" pitchFamily="34" charset="0"/>
            </a:rPr>
            <a:t>United States</a:t>
          </a:r>
          <a:r>
            <a:rPr lang="en-GB" sz="1050">
              <a:solidFill>
                <a:schemeClr val="tx1"/>
              </a:solidFill>
              <a:latin typeface="Segoe UI" panose="020B0502040204020203" pitchFamily="34" charset="0"/>
              <a:cs typeface="Segoe UI" panose="020B0502040204020203" pitchFamily="34" charset="0"/>
            </a:rPr>
            <a:t>), both genders contribute substantially, suggesting a diversified customer base rather than reliance on a single segment.</a:t>
          </a:r>
        </a:p>
        <a:p>
          <a:r>
            <a:rPr lang="en-GB" sz="1050">
              <a:solidFill>
                <a:schemeClr val="tx1"/>
              </a:solidFill>
              <a:latin typeface="Segoe UI" panose="020B0502040204020203" pitchFamily="34" charset="0"/>
              <a:cs typeface="Segoe UI" panose="020B0502040204020203" pitchFamily="34" charset="0"/>
            </a:rPr>
            <a:t>No country shows extreme gender dependency, reducing concentration risk.</a:t>
          </a:r>
        </a:p>
        <a:p>
          <a:r>
            <a:rPr lang="en-GB" sz="1050" b="1">
              <a:solidFill>
                <a:schemeClr val="tx1"/>
              </a:solidFill>
              <a:latin typeface="Segoe UI" panose="020B0502040204020203" pitchFamily="34" charset="0"/>
              <a:cs typeface="Segoe UI" panose="020B0502040204020203" pitchFamily="34" charset="0"/>
            </a:rPr>
            <a:t>Business takeaway</a:t>
          </a:r>
          <a:endParaRPr lang="en-GB" sz="1050">
            <a:solidFill>
              <a:schemeClr val="tx1"/>
            </a:solidFill>
            <a:latin typeface="Segoe UI" panose="020B0502040204020203" pitchFamily="34" charset="0"/>
            <a:cs typeface="Segoe UI" panose="020B0502040204020203" pitchFamily="34" charset="0"/>
          </a:endParaRPr>
        </a:p>
        <a:p>
          <a:r>
            <a:rPr lang="en-GB" sz="1050">
              <a:solidFill>
                <a:schemeClr val="tx1"/>
              </a:solidFill>
              <a:latin typeface="Segoe UI" panose="020B0502040204020203" pitchFamily="34" charset="0"/>
              <a:cs typeface="Segoe UI" panose="020B0502040204020203" pitchFamily="34" charset="0"/>
            </a:rPr>
            <a:t>The sales portfolio is </a:t>
          </a:r>
          <a:r>
            <a:rPr lang="en-GB" sz="1050" b="1">
              <a:solidFill>
                <a:schemeClr val="tx1"/>
              </a:solidFill>
              <a:latin typeface="Segoe UI" panose="020B0502040204020203" pitchFamily="34" charset="0"/>
              <a:cs typeface="Segoe UI" panose="020B0502040204020203" pitchFamily="34" charset="0"/>
            </a:rPr>
            <a:t>heavily driven by the US market</a:t>
          </a:r>
          <a:r>
            <a:rPr lang="en-GB" sz="1050">
              <a:solidFill>
                <a:schemeClr val="tx1"/>
              </a:solidFill>
              <a:latin typeface="Segoe UI" panose="020B0502040204020203" pitchFamily="34" charset="0"/>
              <a:cs typeface="Segoe UI" panose="020B0502040204020203" pitchFamily="34" charset="0"/>
            </a:rPr>
            <a:t>, while other countries act as stabilizing contributors.</a:t>
          </a:r>
        </a:p>
        <a:p>
          <a:r>
            <a:rPr lang="en-GB" sz="1050">
              <a:solidFill>
                <a:schemeClr val="tx1"/>
              </a:solidFill>
              <a:latin typeface="Segoe UI" panose="020B0502040204020203" pitchFamily="34" charset="0"/>
              <a:cs typeface="Segoe UI" panose="020B0502040204020203" pitchFamily="34" charset="0"/>
            </a:rPr>
            <a:t>Growth opportunities may lie in </a:t>
          </a:r>
          <a:r>
            <a:rPr lang="en-GB" sz="1050" b="1">
              <a:solidFill>
                <a:schemeClr val="tx1"/>
              </a:solidFill>
              <a:latin typeface="Segoe UI" panose="020B0502040204020203" pitchFamily="34" charset="0"/>
              <a:cs typeface="Segoe UI" panose="020B0502040204020203" pitchFamily="34" charset="0"/>
            </a:rPr>
            <a:t>scaling high-margin countries</a:t>
          </a:r>
          <a:r>
            <a:rPr lang="en-GB" sz="1050">
              <a:solidFill>
                <a:schemeClr val="tx1"/>
              </a:solidFill>
              <a:latin typeface="Segoe UI" panose="020B0502040204020203" pitchFamily="34" charset="0"/>
              <a:cs typeface="Segoe UI" panose="020B0502040204020203" pitchFamily="34" charset="0"/>
            </a:rPr>
            <a:t> and improving monetization in markets with rising unit volumes but weaker profit conversion.</a:t>
          </a:r>
        </a:p>
        <a:p>
          <a:endParaRPr lang="en-GB" sz="1050">
            <a:solidFill>
              <a:schemeClr val="tx1"/>
            </a:solidFill>
            <a:latin typeface="Segoe UI" panose="020B0502040204020203" pitchFamily="34" charset="0"/>
            <a:cs typeface="Segoe UI" panose="020B0502040204020203" pitchFamily="34" charset="0"/>
          </a:endParaRPr>
        </a:p>
      </xdr:txBody>
    </xdr:sp>
    <xdr:clientData/>
  </xdr:oneCellAnchor>
</xdr:wsDr>
</file>

<file path=xl/drawings/drawing5.xml><?xml version="1.0" encoding="utf-8"?>
<c:userShapes xmlns:c="http://schemas.openxmlformats.org/drawingml/2006/chart">
  <cdr:relSizeAnchor xmlns:cdr="http://schemas.openxmlformats.org/drawingml/2006/chartDrawing">
    <cdr:from>
      <cdr:x>0.25147</cdr:x>
      <cdr:y>0.07468</cdr:y>
    </cdr:from>
    <cdr:to>
      <cdr:x>0.76851</cdr:x>
      <cdr:y>0.12933</cdr:y>
    </cdr:to>
    <cdr:sp macro="" textlink="">
      <cdr:nvSpPr>
        <cdr:cNvPr id="2" name="TextBox 1">
          <a:extLst xmlns:a="http://schemas.openxmlformats.org/drawingml/2006/main">
            <a:ext uri="{FF2B5EF4-FFF2-40B4-BE49-F238E27FC236}">
              <a16:creationId xmlns:a16="http://schemas.microsoft.com/office/drawing/2014/main" id="{A4E42771-14FE-F43E-A310-10E5217ED907}"/>
            </a:ext>
          </a:extLst>
        </cdr:cNvPr>
        <cdr:cNvSpPr txBox="1"/>
      </cdr:nvSpPr>
      <cdr:spPr>
        <a:xfrm xmlns:a="http://schemas.openxmlformats.org/drawingml/2006/main">
          <a:off x="1358900" y="260350"/>
          <a:ext cx="2794000" cy="1905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GB" sz="1000">
              <a:latin typeface="Segoe UI" panose="020B0502040204020203" pitchFamily="34" charset="0"/>
              <a:cs typeface="Segoe UI" panose="020B0502040204020203" pitchFamily="34" charset="0"/>
            </a:rPr>
            <a:t>Annual aggregated volume (2011–2016)</a:t>
          </a:r>
          <a:endParaRPr lang="en-GB" sz="1000" kern="1200">
            <a:latin typeface="Segoe UI" panose="020B0502040204020203" pitchFamily="34" charset="0"/>
            <a:cs typeface="Segoe UI" panose="020B0502040204020203"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9</xdr:col>
      <xdr:colOff>77611</xdr:colOff>
      <xdr:row>0</xdr:row>
      <xdr:rowOff>0</xdr:rowOff>
    </xdr:from>
    <xdr:to>
      <xdr:col>22</xdr:col>
      <xdr:colOff>21167</xdr:colOff>
      <xdr:row>15</xdr:row>
      <xdr:rowOff>196850</xdr:rowOff>
    </xdr:to>
    <xdr:graphicFrame macro="">
      <xdr:nvGraphicFramePr>
        <xdr:cNvPr id="3" name="Chart 2">
          <a:extLst>
            <a:ext uri="{FF2B5EF4-FFF2-40B4-BE49-F238E27FC236}">
              <a16:creationId xmlns:a16="http://schemas.microsoft.com/office/drawing/2014/main" id="{BCD0FB55-3E88-4543-D467-953822E02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272996</xdr:colOff>
      <xdr:row>5</xdr:row>
      <xdr:rowOff>43962</xdr:rowOff>
    </xdr:from>
    <xdr:to>
      <xdr:col>20</xdr:col>
      <xdr:colOff>282765</xdr:colOff>
      <xdr:row>13</xdr:row>
      <xdr:rowOff>4885</xdr:rowOff>
    </xdr:to>
    <xdr:cxnSp macro="">
      <xdr:nvCxnSpPr>
        <xdr:cNvPr id="5" name="Straight Connector 4">
          <a:extLst>
            <a:ext uri="{FF2B5EF4-FFF2-40B4-BE49-F238E27FC236}">
              <a16:creationId xmlns:a16="http://schemas.microsoft.com/office/drawing/2014/main" id="{41C82459-EBD2-9779-FFAB-4E6742CB4BD0}"/>
            </a:ext>
          </a:extLst>
        </xdr:cNvPr>
        <xdr:cNvCxnSpPr/>
      </xdr:nvCxnSpPr>
      <xdr:spPr>
        <a:xfrm flipH="1" flipV="1">
          <a:off x="14158329" y="1067018"/>
          <a:ext cx="9769" cy="1597811"/>
        </a:xfrm>
        <a:prstGeom prst="line">
          <a:avLst/>
        </a:prstGeom>
        <a:ln>
          <a:solidFill>
            <a:schemeClr val="tx1">
              <a:lumMod val="65000"/>
              <a:lumOff val="35000"/>
            </a:schemeClr>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97693</xdr:colOff>
      <xdr:row>7</xdr:row>
      <xdr:rowOff>32021</xdr:rowOff>
    </xdr:from>
    <xdr:to>
      <xdr:col>16</xdr:col>
      <xdr:colOff>112347</xdr:colOff>
      <xdr:row>13</xdr:row>
      <xdr:rowOff>7598</xdr:rowOff>
    </xdr:to>
    <xdr:cxnSp macro="">
      <xdr:nvCxnSpPr>
        <xdr:cNvPr id="9" name="Straight Connector 8">
          <a:extLst>
            <a:ext uri="{FF2B5EF4-FFF2-40B4-BE49-F238E27FC236}">
              <a16:creationId xmlns:a16="http://schemas.microsoft.com/office/drawing/2014/main" id="{10BF413C-19EE-88E8-72E5-2A952B791ED2}"/>
            </a:ext>
          </a:extLst>
        </xdr:cNvPr>
        <xdr:cNvCxnSpPr/>
      </xdr:nvCxnSpPr>
      <xdr:spPr>
        <a:xfrm>
          <a:off x="11555915" y="1464299"/>
          <a:ext cx="14654" cy="1203243"/>
        </a:xfrm>
        <a:prstGeom prst="line">
          <a:avLst/>
        </a:prstGeom>
        <a:ln>
          <a:solidFill>
            <a:schemeClr val="tx1">
              <a:lumMod val="65000"/>
              <a:lumOff val="35000"/>
            </a:schemeClr>
          </a:solidFill>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70555</xdr:colOff>
      <xdr:row>16</xdr:row>
      <xdr:rowOff>8304</xdr:rowOff>
    </xdr:from>
    <xdr:to>
      <xdr:col>22</xdr:col>
      <xdr:colOff>21167</xdr:colOff>
      <xdr:row>33</xdr:row>
      <xdr:rowOff>42333</xdr:rowOff>
    </xdr:to>
    <xdr:graphicFrame macro="">
      <xdr:nvGraphicFramePr>
        <xdr:cNvPr id="11" name="Chart 10">
          <a:extLst>
            <a:ext uri="{FF2B5EF4-FFF2-40B4-BE49-F238E27FC236}">
              <a16:creationId xmlns:a16="http://schemas.microsoft.com/office/drawing/2014/main" id="{36AD296E-8850-F2A4-33CA-0E77EA9E2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0.36146</cdr:x>
      <cdr:y>0.09388</cdr:y>
    </cdr:from>
    <cdr:to>
      <cdr:x>0.66799</cdr:x>
      <cdr:y>0.16939</cdr:y>
    </cdr:to>
    <cdr:sp macro="" textlink="">
      <cdr:nvSpPr>
        <cdr:cNvPr id="2" name="TextBox 1">
          <a:extLst xmlns:a="http://schemas.openxmlformats.org/drawingml/2006/main">
            <a:ext uri="{FF2B5EF4-FFF2-40B4-BE49-F238E27FC236}">
              <a16:creationId xmlns:a16="http://schemas.microsoft.com/office/drawing/2014/main" id="{F681C1EB-57CD-70FC-B694-14E4E7F20F44}"/>
            </a:ext>
          </a:extLst>
        </cdr:cNvPr>
        <cdr:cNvSpPr txBox="1"/>
      </cdr:nvSpPr>
      <cdr:spPr>
        <a:xfrm xmlns:a="http://schemas.openxmlformats.org/drawingml/2006/main">
          <a:off x="2882900" y="292100"/>
          <a:ext cx="2444750" cy="2349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GB" sz="1000">
              <a:solidFill>
                <a:schemeClr val="tx1">
                  <a:lumMod val="95000"/>
                  <a:lumOff val="5000"/>
                </a:schemeClr>
              </a:solidFill>
              <a:latin typeface="Segoe UI" panose="020B0502040204020203" pitchFamily="34" charset="0"/>
              <a:cs typeface="Segoe UI" panose="020B0502040204020203" pitchFamily="34" charset="0"/>
            </a:rPr>
            <a:t>Monthly trend (2011–2016)</a:t>
          </a:r>
          <a:endParaRPr lang="en-GB" sz="1000" kern="1200">
            <a:solidFill>
              <a:schemeClr val="tx1">
                <a:lumMod val="95000"/>
                <a:lumOff val="5000"/>
              </a:schemeClr>
            </a:solidFill>
            <a:latin typeface="Segoe UI" panose="020B0502040204020203" pitchFamily="34" charset="0"/>
            <a:cs typeface="Segoe UI" panose="020B0502040204020203"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0.35302</cdr:x>
      <cdr:y>0.08114</cdr:y>
    </cdr:from>
    <cdr:to>
      <cdr:x>0.65927</cdr:x>
      <cdr:y>0.12672</cdr:y>
    </cdr:to>
    <cdr:sp macro="" textlink="">
      <cdr:nvSpPr>
        <cdr:cNvPr id="2" name="TextBox 1">
          <a:extLst xmlns:a="http://schemas.openxmlformats.org/drawingml/2006/main">
            <a:ext uri="{FF2B5EF4-FFF2-40B4-BE49-F238E27FC236}">
              <a16:creationId xmlns:a16="http://schemas.microsoft.com/office/drawing/2014/main" id="{CFEA1957-6D2E-665A-54B9-74A29E7145E8}"/>
            </a:ext>
          </a:extLst>
        </cdr:cNvPr>
        <cdr:cNvSpPr txBox="1"/>
      </cdr:nvSpPr>
      <cdr:spPr>
        <a:xfrm xmlns:a="http://schemas.openxmlformats.org/drawingml/2006/main">
          <a:off x="2767226" y="285011"/>
          <a:ext cx="2400609" cy="16009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000">
              <a:solidFill>
                <a:schemeClr val="tx1">
                  <a:lumMod val="95000"/>
                  <a:lumOff val="5000"/>
                </a:schemeClr>
              </a:solidFill>
              <a:latin typeface="Segoe UI" panose="020B0502040204020203" pitchFamily="34" charset="0"/>
              <a:cs typeface="Segoe UI" panose="020B0502040204020203" pitchFamily="34" charset="0"/>
            </a:rPr>
            <a:t>Monthly trend (2011–2016)</a:t>
          </a:r>
          <a:endParaRPr lang="en-GB" sz="1000" kern="1200">
            <a:solidFill>
              <a:schemeClr val="tx1">
                <a:lumMod val="95000"/>
                <a:lumOff val="5000"/>
              </a:schemeClr>
            </a:solidFill>
            <a:latin typeface="Segoe UI" panose="020B0502040204020203" pitchFamily="34" charset="0"/>
            <a:cs typeface="Segoe UI" panose="020B05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ber Kalachik" refreshedDate="46061.829886574073" createdVersion="8" refreshedVersion="8" minRefreshableVersion="3" recordCount="48" xr:uid="{ECD1DC3C-98B2-478F-A0BC-EAC579CFDE82}">
  <cacheSource type="worksheet">
    <worksheetSource name="vw_customer_segments"/>
  </cacheSource>
  <cacheFields count="6">
    <cacheField name="Country" numFmtId="0">
      <sharedItems count="6">
        <s v="Canada"/>
        <s v="France"/>
        <s v="United States"/>
        <s v="Germany"/>
        <s v="Australia"/>
        <s v="United Kingdom"/>
      </sharedItems>
    </cacheField>
    <cacheField name="Age_Group" numFmtId="0">
      <sharedItems count="4">
        <s v="Youth (&lt;25)"/>
        <s v="Seniors (64+)"/>
        <s v="Adults (35-64)"/>
        <s v="Young Adults (25-34)"/>
      </sharedItems>
    </cacheField>
    <cacheField name="Customer_Gender" numFmtId="0">
      <sharedItems count="2">
        <s v="M"/>
        <s v="F"/>
      </sharedItems>
    </cacheField>
    <cacheField name="transactions" numFmtId="0">
      <sharedItems containsSemiMixedTypes="0" containsString="0" containsNumber="1" containsInteger="1" minValue="16" maxValue="11002"/>
    </cacheField>
    <cacheField name="revenue" numFmtId="0">
      <sharedItems containsSemiMixedTypes="0" containsString="0" containsNumber="1" containsInteger="1" minValue="4512" maxValue="8230179" count="48">
        <n v="594688"/>
        <n v="9467"/>
        <n v="8230179"/>
        <n v="2174487"/>
        <n v="1890940"/>
        <n v="7060"/>
        <n v="1286298"/>
        <n v="3577016"/>
        <n v="36155"/>
        <n v="1880319"/>
        <n v="587587"/>
        <n v="2293603"/>
        <n v="1309683"/>
        <n v="677272"/>
        <n v="508578"/>
        <n v="20729"/>
        <n v="1895333"/>
        <n v="4512"/>
        <n v="1834580"/>
        <n v="18511"/>
        <n v="4315968"/>
        <n v="2062851"/>
        <n v="56263"/>
        <n v="2498885"/>
        <n v="1705225"/>
        <n v="74801"/>
        <n v="2346657"/>
        <n v="1715759"/>
        <n v="1730614"/>
        <n v="18896"/>
        <n v="4342280"/>
        <n v="1639385"/>
        <n v="20227"/>
        <n v="414581"/>
        <n v="563132"/>
        <n v="19853"/>
        <n v="4794145"/>
        <n v="1166696"/>
        <n v="2710077"/>
        <n v="4506730"/>
        <n v="4567554"/>
        <n v="873578"/>
        <n v="21568"/>
        <n v="1790747"/>
        <n v="2321612"/>
        <n v="1952313"/>
        <n v="7728725"/>
        <n v="474889"/>
      </sharedItems>
    </cacheField>
    <cacheField name="profit" numFmtId="0">
      <sharedItems containsSemiMixedTypes="0" containsString="0" containsNumber="1" containsInteger="1" minValue="1281" maxValue="3240012"/>
    </cacheField>
  </cacheFields>
  <extLst>
    <ext xmlns:x14="http://schemas.microsoft.com/office/spreadsheetml/2009/9/main" uri="{725AE2AE-9491-48be-B2B4-4EB974FC3084}">
      <x14:pivotCacheDefinition pivotCacheId="13833517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ber Kalachik" refreshedDate="46061.958102893521" createdVersion="8" refreshedVersion="8" minRefreshableVersion="3" recordCount="62" xr:uid="{BB2C8205-AF1E-4540-8416-2549B7282530}">
  <cacheSource type="worksheet">
    <worksheetSource name="vw_monthly_kpis"/>
  </cacheSource>
  <cacheFields count="9">
    <cacheField name="Year" numFmtId="0">
      <sharedItems containsSemiMixedTypes="0" containsString="0" containsNumber="1" containsInteger="1" minValue="2011" maxValue="2016" count="6">
        <n v="2011"/>
        <n v="2012"/>
        <n v="2013"/>
        <n v="2014"/>
        <n v="2015"/>
        <n v="2016"/>
      </sharedItems>
    </cacheField>
    <cacheField name="Month" numFmtId="0">
      <sharedItems/>
    </cacheField>
    <cacheField name="Transactions" numFmtId="2">
      <sharedItems containsSemiMixedTypes="0" containsString="0" containsNumber="1" containsInteger="1" minValue="171" maxValue="5270"/>
    </cacheField>
    <cacheField name="Units" numFmtId="2">
      <sharedItems containsSemiMixedTypes="0" containsString="0" containsNumber="1" containsInteger="1" minValue="244" maxValue="66663"/>
    </cacheField>
    <cacheField name="Revenue" numFmtId="2">
      <sharedItems containsSemiMixedTypes="0" containsString="0" containsNumber="1" containsInteger="1" minValue="435063" maxValue="3848211"/>
    </cacheField>
    <cacheField name="Cost" numFmtId="2">
      <sharedItems containsSemiMixedTypes="0" containsString="0" containsNumber="1" containsInteger="1" minValue="245321" maxValue="2368669"/>
    </cacheField>
    <cacheField name="Profit" numFmtId="2">
      <sharedItems containsSemiMixedTypes="0" containsString="0" containsNumber="1" containsInteger="1" minValue="143278" maxValue="1479542"/>
    </cacheField>
    <cacheField name="Date" numFmtId="14">
      <sharedItems containsSemiMixedTypes="0" containsNonDate="0" containsDate="1" containsString="0" minDate="2011-01-01T00:00:00" maxDate="2016-07-02T00:00:00"/>
    </cacheField>
    <cacheField name="Profit Margin" numFmtId="164">
      <sharedItems containsSemiMixedTypes="0" containsString="0" containsNumber="1" minValue="0.31141779705258738" maxValue="0.509778733069316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n v="1294"/>
    <x v="0"/>
    <n v="279435"/>
  </r>
  <r>
    <x v="1"/>
    <x v="1"/>
    <x v="1"/>
    <n v="48"/>
    <x v="1"/>
    <n v="4323"/>
  </r>
  <r>
    <x v="2"/>
    <x v="2"/>
    <x v="0"/>
    <n v="11002"/>
    <x v="2"/>
    <n v="3240012"/>
  </r>
  <r>
    <x v="1"/>
    <x v="3"/>
    <x v="0"/>
    <n v="2344"/>
    <x v="3"/>
    <n v="703994"/>
  </r>
  <r>
    <x v="1"/>
    <x v="2"/>
    <x v="1"/>
    <n v="2404"/>
    <x v="4"/>
    <n v="671179"/>
  </r>
  <r>
    <x v="3"/>
    <x v="1"/>
    <x v="1"/>
    <n v="38"/>
    <x v="5"/>
    <n v="3676"/>
  </r>
  <r>
    <x v="2"/>
    <x v="0"/>
    <x v="1"/>
    <n v="2496"/>
    <x v="6"/>
    <n v="509648"/>
  </r>
  <r>
    <x v="4"/>
    <x v="3"/>
    <x v="0"/>
    <n v="4608"/>
    <x v="7"/>
    <n v="1156973"/>
  </r>
  <r>
    <x v="4"/>
    <x v="1"/>
    <x v="0"/>
    <n v="42"/>
    <x v="8"/>
    <n v="11432"/>
  </r>
  <r>
    <x v="3"/>
    <x v="3"/>
    <x v="0"/>
    <n v="2234"/>
    <x v="9"/>
    <n v="693040"/>
  </r>
  <r>
    <x v="3"/>
    <x v="0"/>
    <x v="1"/>
    <n v="844"/>
    <x v="10"/>
    <n v="217009"/>
  </r>
  <r>
    <x v="3"/>
    <x v="2"/>
    <x v="1"/>
    <n v="2508"/>
    <x v="11"/>
    <n v="863001"/>
  </r>
  <r>
    <x v="0"/>
    <x v="3"/>
    <x v="0"/>
    <n v="2402"/>
    <x v="12"/>
    <n v="610616"/>
  </r>
  <r>
    <x v="5"/>
    <x v="0"/>
    <x v="0"/>
    <n v="1014"/>
    <x v="13"/>
    <n v="281851"/>
  </r>
  <r>
    <x v="1"/>
    <x v="0"/>
    <x v="0"/>
    <n v="746"/>
    <x v="14"/>
    <n v="180075"/>
  </r>
  <r>
    <x v="0"/>
    <x v="1"/>
    <x v="0"/>
    <n v="50"/>
    <x v="15"/>
    <n v="10937"/>
  </r>
  <r>
    <x v="5"/>
    <x v="3"/>
    <x v="1"/>
    <n v="2294"/>
    <x v="16"/>
    <n v="787379"/>
  </r>
  <r>
    <x v="1"/>
    <x v="1"/>
    <x v="0"/>
    <n v="22"/>
    <x v="17"/>
    <n v="1281"/>
  </r>
  <r>
    <x v="3"/>
    <x v="3"/>
    <x v="1"/>
    <n v="2182"/>
    <x v="18"/>
    <n v="684551"/>
  </r>
  <r>
    <x v="5"/>
    <x v="1"/>
    <x v="1"/>
    <n v="56"/>
    <x v="19"/>
    <n v="11296"/>
  </r>
  <r>
    <x v="2"/>
    <x v="3"/>
    <x v="1"/>
    <n v="5370"/>
    <x v="20"/>
    <n v="1658946"/>
  </r>
  <r>
    <x v="0"/>
    <x v="2"/>
    <x v="1"/>
    <n v="3222"/>
    <x v="21"/>
    <n v="943904"/>
  </r>
  <r>
    <x v="2"/>
    <x v="1"/>
    <x v="1"/>
    <n v="110"/>
    <x v="22"/>
    <n v="27084"/>
  </r>
  <r>
    <x v="5"/>
    <x v="2"/>
    <x v="1"/>
    <n v="3252"/>
    <x v="23"/>
    <n v="1057356"/>
  </r>
  <r>
    <x v="4"/>
    <x v="0"/>
    <x v="1"/>
    <n v="1840"/>
    <x v="24"/>
    <n v="537629"/>
  </r>
  <r>
    <x v="2"/>
    <x v="1"/>
    <x v="0"/>
    <n v="168"/>
    <x v="25"/>
    <n v="29603"/>
  </r>
  <r>
    <x v="0"/>
    <x v="2"/>
    <x v="0"/>
    <n v="3936"/>
    <x v="26"/>
    <n v="1142626"/>
  </r>
  <r>
    <x v="2"/>
    <x v="0"/>
    <x v="0"/>
    <n v="3202"/>
    <x v="27"/>
    <n v="701188"/>
  </r>
  <r>
    <x v="1"/>
    <x v="2"/>
    <x v="0"/>
    <n v="2382"/>
    <x v="28"/>
    <n v="605392"/>
  </r>
  <r>
    <x v="4"/>
    <x v="1"/>
    <x v="1"/>
    <n v="16"/>
    <x v="29"/>
    <n v="6489"/>
  </r>
  <r>
    <x v="4"/>
    <x v="3"/>
    <x v="1"/>
    <n v="4494"/>
    <x v="30"/>
    <n v="1371979"/>
  </r>
  <r>
    <x v="1"/>
    <x v="3"/>
    <x v="1"/>
    <n v="2208"/>
    <x v="31"/>
    <n v="541651"/>
  </r>
  <r>
    <x v="5"/>
    <x v="1"/>
    <x v="0"/>
    <n v="46"/>
    <x v="32"/>
    <n v="8496"/>
  </r>
  <r>
    <x v="0"/>
    <x v="0"/>
    <x v="1"/>
    <n v="1032"/>
    <x v="33"/>
    <n v="186600"/>
  </r>
  <r>
    <x v="3"/>
    <x v="0"/>
    <x v="0"/>
    <n v="864"/>
    <x v="34"/>
    <n v="218274"/>
  </r>
  <r>
    <x v="0"/>
    <x v="1"/>
    <x v="1"/>
    <n v="66"/>
    <x v="35"/>
    <n v="12187"/>
  </r>
  <r>
    <x v="4"/>
    <x v="2"/>
    <x v="1"/>
    <n v="5156"/>
    <x v="36"/>
    <n v="1526794"/>
  </r>
  <r>
    <x v="0"/>
    <x v="3"/>
    <x v="1"/>
    <n v="2176"/>
    <x v="37"/>
    <n v="530991"/>
  </r>
  <r>
    <x v="5"/>
    <x v="2"/>
    <x v="0"/>
    <n v="3406"/>
    <x v="38"/>
    <n v="1120188"/>
  </r>
  <r>
    <x v="4"/>
    <x v="2"/>
    <x v="0"/>
    <n v="5238"/>
    <x v="39"/>
    <n v="1427614"/>
  </r>
  <r>
    <x v="2"/>
    <x v="3"/>
    <x v="0"/>
    <n v="5900"/>
    <x v="40"/>
    <n v="1852730"/>
  </r>
  <r>
    <x v="5"/>
    <x v="0"/>
    <x v="1"/>
    <n v="1110"/>
    <x v="41"/>
    <n v="353376"/>
  </r>
  <r>
    <x v="3"/>
    <x v="1"/>
    <x v="0"/>
    <n v="68"/>
    <x v="42"/>
    <n v="11361"/>
  </r>
  <r>
    <x v="3"/>
    <x v="2"/>
    <x v="0"/>
    <n v="2360"/>
    <x v="43"/>
    <n v="669083"/>
  </r>
  <r>
    <x v="4"/>
    <x v="0"/>
    <x v="0"/>
    <n v="2542"/>
    <x v="44"/>
    <n v="737120"/>
  </r>
  <r>
    <x v="5"/>
    <x v="3"/>
    <x v="0"/>
    <n v="2442"/>
    <x v="45"/>
    <n v="793911"/>
  </r>
  <r>
    <x v="2"/>
    <x v="2"/>
    <x v="1"/>
    <n v="10958"/>
    <x v="46"/>
    <n v="3054433"/>
  </r>
  <r>
    <x v="1"/>
    <x v="0"/>
    <x v="1"/>
    <n v="844"/>
    <x v="47"/>
    <n v="17238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s v="January"/>
    <n v="188"/>
    <n v="362"/>
    <n v="675193"/>
    <n v="462344"/>
    <n v="212849"/>
    <d v="2011-01-01T00:00:00"/>
    <n v="0.3152417160722934"/>
  </r>
  <r>
    <x v="0"/>
    <s v="February"/>
    <n v="171"/>
    <n v="347"/>
    <n v="637598"/>
    <n v="430454"/>
    <n v="207144"/>
    <d v="2011-02-01T00:00:00"/>
    <n v="0.32488182208852601"/>
  </r>
  <r>
    <x v="0"/>
    <s v="March"/>
    <n v="199"/>
    <n v="397"/>
    <n v="708517"/>
    <n v="482113"/>
    <n v="226404"/>
    <d v="2011-03-01T00:00:00"/>
    <n v="0.31954631998949917"/>
  </r>
  <r>
    <x v="0"/>
    <s v="April"/>
    <n v="207"/>
    <n v="403"/>
    <n v="698782"/>
    <n v="475181"/>
    <n v="223601"/>
    <d v="2011-04-01T00:00:00"/>
    <n v="0.31998677699196604"/>
  </r>
  <r>
    <x v="0"/>
    <s v="May"/>
    <n v="214"/>
    <n v="418"/>
    <n v="734537"/>
    <n v="499848"/>
    <n v="234689"/>
    <d v="2011-05-01T00:00:00"/>
    <n v="0.3195060289679077"/>
  </r>
  <r>
    <x v="0"/>
    <s v="June"/>
    <n v="214"/>
    <n v="417"/>
    <n v="658138"/>
    <n v="443109"/>
    <n v="215029"/>
    <d v="2011-06-01T00:00:00"/>
    <n v="0.32672327080338776"/>
  </r>
  <r>
    <x v="0"/>
    <s v="July"/>
    <n v="253"/>
    <n v="505"/>
    <n v="882219"/>
    <n v="593691"/>
    <n v="288528"/>
    <d v="2011-07-01T00:00:00"/>
    <n v="0.32704804589336661"/>
  </r>
  <r>
    <x v="0"/>
    <s v="August"/>
    <n v="281"/>
    <n v="540"/>
    <n v="880037"/>
    <n v="594206"/>
    <n v="285831"/>
    <d v="2011-08-01T00:00:00"/>
    <n v="0.32479429842154361"/>
  </r>
  <r>
    <x v="0"/>
    <s v="September"/>
    <n v="198"/>
    <n v="388"/>
    <n v="685754"/>
    <n v="472198"/>
    <n v="213556"/>
    <d v="2011-09-01T00:00:00"/>
    <n v="0.31141779705258738"/>
  </r>
  <r>
    <x v="0"/>
    <s v="October"/>
    <n v="229"/>
    <n v="452"/>
    <n v="696949"/>
    <n v="474442"/>
    <n v="222507"/>
    <d v="2011-10-01T00:00:00"/>
    <n v="0.31925865450700125"/>
  </r>
  <r>
    <x v="0"/>
    <s v="November"/>
    <n v="193"/>
    <n v="367"/>
    <n v="574498"/>
    <n v="392527"/>
    <n v="181971"/>
    <d v="2011-11-01T00:00:00"/>
    <n v="0.31674783898290332"/>
  </r>
  <r>
    <x v="0"/>
    <s v="December"/>
    <n v="330"/>
    <n v="664"/>
    <n v="1132666"/>
    <n v="763474"/>
    <n v="369192"/>
    <d v="2011-12-01T00:00:00"/>
    <n v="0.32594957383730067"/>
  </r>
  <r>
    <x v="1"/>
    <s v="January"/>
    <n v="188"/>
    <n v="376"/>
    <n v="671695"/>
    <n v="460414"/>
    <n v="211281"/>
    <d v="2012-01-01T00:00:00"/>
    <n v="0.31454901406144159"/>
  </r>
  <r>
    <x v="1"/>
    <s v="February"/>
    <n v="171"/>
    <n v="342"/>
    <n v="642657"/>
    <n v="433544"/>
    <n v="209113"/>
    <d v="2012-02-01T00:00:00"/>
    <n v="0.32538819307966771"/>
  </r>
  <r>
    <x v="1"/>
    <s v="March"/>
    <n v="199"/>
    <n v="398"/>
    <n v="740824"/>
    <n v="505740"/>
    <n v="235084"/>
    <d v="2012-03-01T00:00:00"/>
    <n v="0.31732773236288242"/>
  </r>
  <r>
    <x v="1"/>
    <s v="April"/>
    <n v="207"/>
    <n v="414"/>
    <n v="731005"/>
    <n v="494242"/>
    <n v="236763"/>
    <d v="2012-04-01T00:00:00"/>
    <n v="0.32388697751725365"/>
  </r>
  <r>
    <x v="1"/>
    <s v="May"/>
    <n v="214"/>
    <n v="428"/>
    <n v="765660"/>
    <n v="520404"/>
    <n v="245256"/>
    <d v="2012-05-01T00:00:00"/>
    <n v="0.32031972415954862"/>
  </r>
  <r>
    <x v="1"/>
    <s v="June"/>
    <n v="214"/>
    <n v="428"/>
    <n v="691871"/>
    <n v="465836"/>
    <n v="226035"/>
    <d v="2012-06-01T00:00:00"/>
    <n v="0.32670107577857721"/>
  </r>
  <r>
    <x v="1"/>
    <s v="July"/>
    <n v="253"/>
    <n v="506"/>
    <n v="863284"/>
    <n v="585090"/>
    <n v="278194"/>
    <d v="2012-07-01T00:00:00"/>
    <n v="0.32225084676653337"/>
  </r>
  <r>
    <x v="1"/>
    <s v="August"/>
    <n v="281"/>
    <n v="562"/>
    <n v="927504"/>
    <n v="626896"/>
    <n v="300608"/>
    <d v="2012-08-01T00:00:00"/>
    <n v="0.32410426262312614"/>
  </r>
  <r>
    <x v="1"/>
    <s v="September"/>
    <n v="198"/>
    <n v="396"/>
    <n v="701963"/>
    <n v="481218"/>
    <n v="220745"/>
    <d v="2012-09-01T00:00:00"/>
    <n v="0.31446814148324059"/>
  </r>
  <r>
    <x v="1"/>
    <s v="October"/>
    <n v="229"/>
    <n v="458"/>
    <n v="727918"/>
    <n v="491730"/>
    <n v="236188"/>
    <d v="2012-10-01T00:00:00"/>
    <n v="0.32447061344821809"/>
  </r>
  <r>
    <x v="1"/>
    <s v="November"/>
    <n v="193"/>
    <n v="386"/>
    <n v="601501"/>
    <n v="409730"/>
    <n v="191771"/>
    <d v="2012-11-01T00:00:00"/>
    <n v="0.31882075009019106"/>
  </r>
  <r>
    <x v="1"/>
    <s v="December"/>
    <n v="330"/>
    <n v="660"/>
    <n v="1110101"/>
    <n v="749146"/>
    <n v="360955"/>
    <d v="2012-12-01T00:00:00"/>
    <n v="0.32515509850004637"/>
  </r>
  <r>
    <x v="2"/>
    <s v="January"/>
    <n v="244"/>
    <n v="244"/>
    <n v="435063"/>
    <n v="291785"/>
    <n v="143278"/>
    <d v="2013-01-01T00:00:00"/>
    <n v="0.32932701700673234"/>
  </r>
  <r>
    <x v="2"/>
    <s v="February"/>
    <n v="272"/>
    <n v="272"/>
    <n v="485405"/>
    <n v="325466"/>
    <n v="159939"/>
    <d v="2013-02-01T00:00:00"/>
    <n v="0.32949598788640416"/>
  </r>
  <r>
    <x v="2"/>
    <s v="March"/>
    <n v="272"/>
    <n v="272"/>
    <n v="466940"/>
    <n v="312233"/>
    <n v="154707"/>
    <d v="2013-03-01T00:00:00"/>
    <n v="0.33132094059193901"/>
  </r>
  <r>
    <x v="2"/>
    <s v="April"/>
    <n v="294"/>
    <n v="294"/>
    <n v="476905"/>
    <n v="323102"/>
    <n v="153803"/>
    <d v="2013-04-01T00:00:00"/>
    <n v="0.32250238517105084"/>
  </r>
  <r>
    <x v="2"/>
    <s v="May"/>
    <n v="335"/>
    <n v="335"/>
    <n v="589689"/>
    <n v="393330"/>
    <n v="196359"/>
    <d v="2013-05-01T00:00:00"/>
    <n v="0.33298738826737484"/>
  </r>
  <r>
    <x v="2"/>
    <s v="June"/>
    <n v="321"/>
    <n v="321"/>
    <n v="534099"/>
    <n v="359020"/>
    <n v="175079"/>
    <d v="2013-06-01T00:00:00"/>
    <n v="0.32780252350219719"/>
  </r>
  <r>
    <x v="2"/>
    <s v="July"/>
    <n v="1411"/>
    <n v="14177"/>
    <n v="1230711"/>
    <n v="785772"/>
    <n v="444939"/>
    <d v="2013-07-01T00:00:00"/>
    <n v="0.36153004239013059"/>
  </r>
  <r>
    <x v="2"/>
    <s v="August"/>
    <n v="3819"/>
    <n v="51614"/>
    <n v="1763071"/>
    <n v="1011841"/>
    <n v="751230"/>
    <d v="2013-08-01T00:00:00"/>
    <n v="0.42609174559617846"/>
  </r>
  <r>
    <x v="2"/>
    <s v="September"/>
    <n v="3885"/>
    <n v="51755"/>
    <n v="1988996"/>
    <n v="1160027"/>
    <n v="828969"/>
    <d v="2013-09-01T00:00:00"/>
    <n v="0.41677761041248951"/>
  </r>
  <r>
    <x v="2"/>
    <s v="October"/>
    <n v="4146"/>
    <n v="54358"/>
    <n v="2041128"/>
    <n v="1199130"/>
    <n v="841998"/>
    <d v="2013-10-01T00:00:00"/>
    <n v="0.41251602055334108"/>
  </r>
  <r>
    <x v="2"/>
    <s v="November"/>
    <n v="4174"/>
    <n v="54482"/>
    <n v="2232077"/>
    <n v="1323193"/>
    <n v="908884"/>
    <d v="2013-11-01T00:00:00"/>
    <n v="0.40719204579411911"/>
  </r>
  <r>
    <x v="2"/>
    <s v="December"/>
    <n v="5270"/>
    <n v="66663"/>
    <n v="2995953"/>
    <n v="1795930"/>
    <n v="1200023"/>
    <d v="2013-12-01T00:00:00"/>
    <n v="0.40054800592666173"/>
  </r>
  <r>
    <x v="3"/>
    <s v="January"/>
    <n v="4210"/>
    <n v="55079"/>
    <n v="2003941"/>
    <n v="1179095"/>
    <n v="824846"/>
    <d v="2014-01-01T00:00:00"/>
    <n v="0.41161191871417374"/>
  </r>
  <r>
    <x v="3"/>
    <s v="February"/>
    <n v="4068"/>
    <n v="52294"/>
    <n v="1945487"/>
    <n v="1144566"/>
    <n v="800921"/>
    <d v="2014-02-01T00:00:00"/>
    <n v="0.41168149671521836"/>
  </r>
  <r>
    <x v="3"/>
    <s v="March"/>
    <n v="4366"/>
    <n v="55412"/>
    <n v="2108212"/>
    <n v="1235159"/>
    <n v="873053"/>
    <d v="2014-03-01T00:00:00"/>
    <n v="0.41412011695218509"/>
  </r>
  <r>
    <x v="3"/>
    <s v="April"/>
    <n v="4590"/>
    <n v="59110"/>
    <n v="2204586"/>
    <n v="1288915"/>
    <n v="915671"/>
    <d v="2014-04-01T00:00:00"/>
    <n v="0.41534827854300083"/>
  </r>
  <r>
    <x v="3"/>
    <s v="May"/>
    <n v="5015"/>
    <n v="62661"/>
    <n v="2587491"/>
    <n v="1521317"/>
    <n v="1066174"/>
    <d v="2014-05-01T00:00:00"/>
    <n v="0.41204935592046504"/>
  </r>
  <r>
    <x v="3"/>
    <s v="June"/>
    <n v="5082"/>
    <n v="64254"/>
    <n v="2786120"/>
    <n v="1666196"/>
    <n v="1119924"/>
    <d v="2014-06-01T00:00:00"/>
    <n v="0.40196545733852096"/>
  </r>
  <r>
    <x v="3"/>
    <s v="July"/>
    <n v="2067"/>
    <n v="30775"/>
    <n v="516887"/>
    <n v="253389"/>
    <n v="263498"/>
    <d v="2014-07-01T00:00:00"/>
    <n v="0.50977873306931687"/>
  </r>
  <r>
    <x v="4"/>
    <s v="January"/>
    <n v="244"/>
    <n v="373"/>
    <n v="666938"/>
    <n v="447744"/>
    <n v="219194"/>
    <d v="2015-01-01T00:00:00"/>
    <n v="0.32865723650474254"/>
  </r>
  <r>
    <x v="4"/>
    <s v="February"/>
    <n v="272"/>
    <n v="393"/>
    <n v="679246"/>
    <n v="458635"/>
    <n v="220611"/>
    <d v="2015-02-01T00:00:00"/>
    <n v="0.32478807383481095"/>
  </r>
  <r>
    <x v="4"/>
    <s v="March"/>
    <n v="272"/>
    <n v="415"/>
    <n v="714008"/>
    <n v="477922"/>
    <n v="236086"/>
    <d v="2015-03-01T00:00:00"/>
    <n v="0.33064895631421498"/>
  </r>
  <r>
    <x v="4"/>
    <s v="April"/>
    <n v="294"/>
    <n v="457"/>
    <n v="734608"/>
    <n v="497020"/>
    <n v="237588"/>
    <d v="2015-04-01T00:00:00"/>
    <n v="0.32342147104305968"/>
  </r>
  <r>
    <x v="4"/>
    <s v="May"/>
    <n v="335"/>
    <n v="503"/>
    <n v="895043"/>
    <n v="597749"/>
    <n v="297294"/>
    <d v="2015-05-01T00:00:00"/>
    <n v="0.33215610870092277"/>
  </r>
  <r>
    <x v="4"/>
    <s v="June"/>
    <n v="321"/>
    <n v="467"/>
    <n v="786480"/>
    <n v="527616"/>
    <n v="258864"/>
    <d v="2015-06-01T00:00:00"/>
    <n v="0.3291425083918218"/>
  </r>
  <r>
    <x v="4"/>
    <s v="July"/>
    <n v="1411"/>
    <n v="14067"/>
    <n v="1728398"/>
    <n v="1118446"/>
    <n v="609952"/>
    <d v="2015-07-01T00:00:00"/>
    <n v="0.35290020006965989"/>
  </r>
  <r>
    <x v="4"/>
    <s v="August"/>
    <n v="3819"/>
    <n v="50403"/>
    <n v="2140581"/>
    <n v="1264046"/>
    <n v="876535"/>
    <d v="2015-08-01T00:00:00"/>
    <n v="0.40948462123133861"/>
  </r>
  <r>
    <x v="4"/>
    <s v="September"/>
    <n v="3885"/>
    <n v="50632"/>
    <n v="2465172"/>
    <n v="1478781"/>
    <n v="986391"/>
    <d v="2015-09-01T00:00:00"/>
    <n v="0.40013070081925317"/>
  </r>
  <r>
    <x v="4"/>
    <s v="October"/>
    <n v="4146"/>
    <n v="53080"/>
    <n v="2529084"/>
    <n v="1528465"/>
    <n v="1000619"/>
    <d v="2015-10-01T00:00:00"/>
    <n v="0.39564482634819564"/>
  </r>
  <r>
    <x v="4"/>
    <s v="November"/>
    <n v="4174"/>
    <n v="53402"/>
    <n v="2836222"/>
    <n v="1730335"/>
    <n v="1105887"/>
    <d v="2015-11-01T00:00:00"/>
    <n v="0.38991552847414623"/>
  </r>
  <r>
    <x v="4"/>
    <s v="December"/>
    <n v="5270"/>
    <n v="65325"/>
    <n v="3848211"/>
    <n v="2368669"/>
    <n v="1479542"/>
    <d v="2015-12-01T00:00:00"/>
    <n v="0.38447527955197885"/>
  </r>
  <r>
    <x v="5"/>
    <s v="January"/>
    <n v="4210"/>
    <n v="53933"/>
    <n v="2553065"/>
    <n v="1545992"/>
    <n v="1007073"/>
    <d v="2016-01-01T00:00:00"/>
    <n v="0.39445646703080417"/>
  </r>
  <r>
    <x v="5"/>
    <s v="February"/>
    <n v="4068"/>
    <n v="51069"/>
    <n v="2444190"/>
    <n v="1479596"/>
    <n v="964594"/>
    <d v="2016-02-01T00:00:00"/>
    <n v="0.39464771560312412"/>
  </r>
  <r>
    <x v="5"/>
    <s v="March"/>
    <n v="4366"/>
    <n v="54191"/>
    <n v="2608663"/>
    <n v="1572131"/>
    <n v="1036532"/>
    <d v="2016-03-01T00:00:00"/>
    <n v="0.39734224006703817"/>
  </r>
  <r>
    <x v="5"/>
    <s v="April"/>
    <n v="4590"/>
    <n v="57789"/>
    <n v="2756864"/>
    <n v="1659571"/>
    <n v="1097293"/>
    <d v="2016-04-01T00:00:00"/>
    <n v="0.39802217301977899"/>
  </r>
  <r>
    <x v="5"/>
    <s v="May"/>
    <n v="5015"/>
    <n v="61370"/>
    <n v="3264343"/>
    <n v="1977178"/>
    <n v="1287165"/>
    <d v="2016-05-01T00:00:00"/>
    <n v="0.39431058562167026"/>
  </r>
  <r>
    <x v="5"/>
    <s v="June"/>
    <n v="5082"/>
    <n v="62704"/>
    <n v="3586300"/>
    <n v="2197648"/>
    <n v="1388652"/>
    <d v="2016-06-01T00:00:00"/>
    <n v="0.38721021665783678"/>
  </r>
  <r>
    <x v="5"/>
    <s v="July"/>
    <n v="2067"/>
    <n v="29757"/>
    <n v="499960"/>
    <n v="245321"/>
    <n v="254639"/>
    <d v="2016-07-01T00:00:00"/>
    <n v="0.50931874549963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498B60-E69C-4785-82FF-F148132E206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category">
  <location ref="A26:D32" firstHeaderRow="1" firstDataRow="2" firstDataCol="1"/>
  <pivotFields count="6">
    <pivotField showAll="0">
      <items count="7">
        <item x="4"/>
        <item x="0"/>
        <item x="1"/>
        <item x="3"/>
        <item x="5"/>
        <item x="2"/>
        <item t="default"/>
      </items>
    </pivotField>
    <pivotField axis="axisRow" showAll="0" sortType="ascending">
      <items count="5">
        <item x="0"/>
        <item x="3"/>
        <item x="2"/>
        <item x="1"/>
        <item t="default"/>
      </items>
    </pivotField>
    <pivotField axis="axisCol" showAll="0">
      <items count="3">
        <item x="1"/>
        <item x="0"/>
        <item t="default"/>
      </items>
    </pivotField>
    <pivotField showAll="0"/>
    <pivotField dataField="1" showAll="0"/>
    <pivotField showAll="0"/>
  </pivotFields>
  <rowFields count="1">
    <field x="1"/>
  </rowFields>
  <rowItems count="5">
    <i>
      <x/>
    </i>
    <i>
      <x v="1"/>
    </i>
    <i>
      <x v="2"/>
    </i>
    <i>
      <x v="3"/>
    </i>
    <i t="grand">
      <x/>
    </i>
  </rowItems>
  <colFields count="1">
    <field x="2"/>
  </colFields>
  <colItems count="3">
    <i>
      <x/>
    </i>
    <i>
      <x v="1"/>
    </i>
    <i t="grand">
      <x/>
    </i>
  </colItems>
  <dataFields count="1">
    <dataField name="Sum of revenue" fld="4" baseField="0" baseItem="0"/>
  </dataFields>
  <formats count="47">
    <format dxfId="1282">
      <pivotArea type="origin" dataOnly="0" labelOnly="1" outline="0" fieldPosition="0"/>
    </format>
    <format dxfId="1283">
      <pivotArea field="1" type="button" dataOnly="0" labelOnly="1" outline="0" axis="axisRow" fieldPosition="0"/>
    </format>
    <format dxfId="1284">
      <pivotArea dataOnly="0" labelOnly="1" fieldPosition="0">
        <references count="1">
          <reference field="1" count="0"/>
        </references>
      </pivotArea>
    </format>
    <format dxfId="1285">
      <pivotArea dataOnly="0" labelOnly="1" grandRow="1" outline="0" fieldPosition="0"/>
    </format>
    <format dxfId="1286">
      <pivotArea outline="0" collapsedLevelsAreSubtotals="1" fieldPosition="0"/>
    </format>
    <format dxfId="1287">
      <pivotArea field="2" type="button" dataOnly="0" labelOnly="1" outline="0" axis="axisCol" fieldPosition="0"/>
    </format>
    <format dxfId="1288">
      <pivotArea type="topRight" dataOnly="0" labelOnly="1" outline="0" fieldPosition="0"/>
    </format>
    <format dxfId="1289">
      <pivotArea dataOnly="0" labelOnly="1" fieldPosition="0">
        <references count="1">
          <reference field="2" count="0"/>
        </references>
      </pivotArea>
    </format>
    <format dxfId="1290">
      <pivotArea dataOnly="0" labelOnly="1" grandCol="1" outline="0" fieldPosition="0"/>
    </format>
    <format dxfId="1291">
      <pivotArea type="all" dataOnly="0" outline="0" fieldPosition="0"/>
    </format>
    <format dxfId="1292">
      <pivotArea outline="0" collapsedLevelsAreSubtotals="1" fieldPosition="0"/>
    </format>
    <format dxfId="1293">
      <pivotArea type="origin" dataOnly="0" labelOnly="1" outline="0" fieldPosition="0"/>
    </format>
    <format dxfId="1294">
      <pivotArea field="2" type="button" dataOnly="0" labelOnly="1" outline="0" axis="axisCol" fieldPosition="0"/>
    </format>
    <format dxfId="1295">
      <pivotArea type="topRight" dataOnly="0" labelOnly="1" outline="0" fieldPosition="0"/>
    </format>
    <format dxfId="1296">
      <pivotArea field="1" type="button" dataOnly="0" labelOnly="1" outline="0" axis="axisRow" fieldPosition="0"/>
    </format>
    <format dxfId="1297">
      <pivotArea dataOnly="0" labelOnly="1" fieldPosition="0">
        <references count="1">
          <reference field="1" count="0"/>
        </references>
      </pivotArea>
    </format>
    <format dxfId="1298">
      <pivotArea dataOnly="0" labelOnly="1" grandRow="1" outline="0" fieldPosition="0"/>
    </format>
    <format dxfId="1299">
      <pivotArea dataOnly="0" labelOnly="1" fieldPosition="0">
        <references count="1">
          <reference field="2" count="0"/>
        </references>
      </pivotArea>
    </format>
    <format dxfId="1300">
      <pivotArea dataOnly="0" labelOnly="1" grandCol="1" outline="0" fieldPosition="0"/>
    </format>
    <format dxfId="1301">
      <pivotArea outline="0" collapsedLevelsAreSubtotals="1" fieldPosition="0">
        <references count="1">
          <reference field="2" count="1" selected="0">
            <x v="1"/>
          </reference>
        </references>
      </pivotArea>
    </format>
    <format dxfId="1302">
      <pivotArea type="topRight" dataOnly="0" labelOnly="1" outline="0" fieldPosition="0"/>
    </format>
    <format dxfId="1303">
      <pivotArea dataOnly="0" labelOnly="1" fieldPosition="0">
        <references count="1">
          <reference field="2" count="1">
            <x v="1"/>
          </reference>
        </references>
      </pivotArea>
    </format>
    <format dxfId="1304">
      <pivotArea grandCol="1" outline="0" collapsedLevelsAreSubtotals="1" fieldPosition="0"/>
    </format>
    <format dxfId="1305">
      <pivotArea outline="0" collapsedLevelsAreSubtotals="1" fieldPosition="0">
        <references count="1">
          <reference field="2" count="1" selected="0">
            <x v="0"/>
          </reference>
        </references>
      </pivotArea>
    </format>
    <format dxfId="1306">
      <pivotArea field="2" type="button" dataOnly="0" labelOnly="1" outline="0" axis="axisCol" fieldPosition="0"/>
    </format>
    <format dxfId="1307">
      <pivotArea dataOnly="0" labelOnly="1" fieldPosition="0">
        <references count="1">
          <reference field="2" count="1">
            <x v="0"/>
          </reference>
        </references>
      </pivotArea>
    </format>
    <format dxfId="1308">
      <pivotArea dataOnly="0" fieldPosition="0">
        <references count="1">
          <reference field="1" count="0"/>
        </references>
      </pivotArea>
    </format>
    <format dxfId="1309">
      <pivotArea type="origin" dataOnly="0" labelOnly="1" outline="0" fieldPosition="0"/>
    </format>
    <format dxfId="1310">
      <pivotArea field="2" type="button" dataOnly="0" labelOnly="1" outline="0" axis="axisCol" fieldPosition="0"/>
    </format>
    <format dxfId="1311">
      <pivotArea type="topRight" dataOnly="0" labelOnly="1" outline="0" fieldPosition="0"/>
    </format>
    <format dxfId="1312">
      <pivotArea field="1" type="button" dataOnly="0" labelOnly="1" outline="0" axis="axisRow" fieldPosition="0"/>
    </format>
    <format dxfId="1313">
      <pivotArea dataOnly="0" labelOnly="1" fieldPosition="0">
        <references count="1">
          <reference field="2" count="0"/>
        </references>
      </pivotArea>
    </format>
    <format dxfId="1314">
      <pivotArea dataOnly="0" labelOnly="1" grandCol="1" outline="0" fieldPosition="0"/>
    </format>
    <format dxfId="1315">
      <pivotArea type="origin" dataOnly="0" labelOnly="1" outline="0" fieldPosition="0"/>
    </format>
    <format dxfId="1316">
      <pivotArea field="2" type="button" dataOnly="0" labelOnly="1" outline="0" axis="axisCol" fieldPosition="0"/>
    </format>
    <format dxfId="1317">
      <pivotArea type="topRight" dataOnly="0" labelOnly="1" outline="0" fieldPosition="0"/>
    </format>
    <format dxfId="1318">
      <pivotArea field="1" type="button" dataOnly="0" labelOnly="1" outline="0" axis="axisRow" fieldPosition="0"/>
    </format>
    <format dxfId="1319">
      <pivotArea dataOnly="0" labelOnly="1" fieldPosition="0">
        <references count="1">
          <reference field="2" count="0"/>
        </references>
      </pivotArea>
    </format>
    <format dxfId="1320">
      <pivotArea dataOnly="0" labelOnly="1" grandCol="1" outline="0" fieldPosition="0"/>
    </format>
    <format dxfId="1321">
      <pivotArea dataOnly="0" grandRow="1" fieldPosition="0"/>
    </format>
    <format dxfId="1322">
      <pivotArea dataOnly="0" fieldPosition="0">
        <references count="1">
          <reference field="1" count="0"/>
        </references>
      </pivotArea>
    </format>
    <format dxfId="1323">
      <pivotArea collapsedLevelsAreSubtotals="1" fieldPosition="0">
        <references count="1">
          <reference field="1" count="0"/>
        </references>
      </pivotArea>
    </format>
    <format dxfId="1324">
      <pivotArea dataOnly="0" labelOnly="1" fieldPosition="0">
        <references count="1">
          <reference field="1" count="0"/>
        </references>
      </pivotArea>
    </format>
    <format dxfId="1325">
      <pivotArea collapsedLevelsAreSubtotals="1" fieldPosition="0">
        <references count="1">
          <reference field="1" count="0"/>
        </references>
      </pivotArea>
    </format>
    <format dxfId="1326">
      <pivotArea dataOnly="0" labelOnly="1" fieldPosition="0">
        <references count="1">
          <reference field="1" count="0"/>
        </references>
      </pivotArea>
    </format>
    <format dxfId="1327">
      <pivotArea collapsedLevelsAreSubtotals="1" fieldPosition="0">
        <references count="1">
          <reference field="1" count="0"/>
        </references>
      </pivotArea>
    </format>
    <format dxfId="1328">
      <pivotArea dataOnly="0" labelOnly="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E43421-CD79-46FC-885F-615DB9CB73D1}"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ntry">
  <location ref="E37:H45" firstHeaderRow="1" firstDataRow="2" firstDataCol="1"/>
  <pivotFields count="6">
    <pivotField axis="axisRow" showAll="0">
      <items count="7">
        <item x="4"/>
        <item x="0"/>
        <item x="1"/>
        <item x="3"/>
        <item x="5"/>
        <item x="2"/>
        <item t="default"/>
      </items>
    </pivotField>
    <pivotField showAll="0"/>
    <pivotField axis="axisCol" showAll="0">
      <items count="3">
        <item x="1"/>
        <item x="0"/>
        <item t="default"/>
      </items>
    </pivotField>
    <pivotField showAll="0"/>
    <pivotField dataField="1" showAll="0">
      <items count="49">
        <item x="17"/>
        <item x="5"/>
        <item x="1"/>
        <item x="19"/>
        <item x="29"/>
        <item x="35"/>
        <item x="32"/>
        <item x="15"/>
        <item x="42"/>
        <item x="8"/>
        <item x="22"/>
        <item x="25"/>
        <item x="33"/>
        <item x="47"/>
        <item x="14"/>
        <item x="34"/>
        <item x="10"/>
        <item x="0"/>
        <item x="13"/>
        <item x="41"/>
        <item x="37"/>
        <item x="6"/>
        <item x="12"/>
        <item x="31"/>
        <item x="24"/>
        <item x="27"/>
        <item x="28"/>
        <item x="43"/>
        <item x="18"/>
        <item x="9"/>
        <item x="4"/>
        <item x="16"/>
        <item x="45"/>
        <item x="21"/>
        <item x="3"/>
        <item x="11"/>
        <item x="44"/>
        <item x="26"/>
        <item x="23"/>
        <item x="38"/>
        <item x="7"/>
        <item x="20"/>
        <item x="30"/>
        <item x="39"/>
        <item x="40"/>
        <item x="36"/>
        <item x="46"/>
        <item x="2"/>
        <item t="default"/>
      </items>
    </pivotField>
    <pivotField showAll="0"/>
  </pivotFields>
  <rowFields count="1">
    <field x="0"/>
  </rowFields>
  <rowItems count="7">
    <i>
      <x/>
    </i>
    <i>
      <x v="1"/>
    </i>
    <i>
      <x v="2"/>
    </i>
    <i>
      <x v="3"/>
    </i>
    <i>
      <x v="4"/>
    </i>
    <i>
      <x v="5"/>
    </i>
    <i t="grand">
      <x/>
    </i>
  </rowItems>
  <colFields count="1">
    <field x="2"/>
  </colFields>
  <colItems count="3">
    <i>
      <x/>
    </i>
    <i>
      <x v="1"/>
    </i>
    <i t="grand">
      <x/>
    </i>
  </colItems>
  <dataFields count="1">
    <dataField name="REVENUE TABLE" fld="4" baseField="0" baseItem="0" numFmtId="2"/>
  </dataFields>
  <formats count="29">
    <format dxfId="1270">
      <pivotArea outline="0" collapsedLevelsAreSubtotals="1" fieldPosition="0"/>
    </format>
    <format dxfId="1269">
      <pivotArea field="2" type="button" dataOnly="0" labelOnly="1" outline="0" axis="axisCol" fieldPosition="0"/>
    </format>
    <format dxfId="1268">
      <pivotArea type="topRight" dataOnly="0" labelOnly="1" outline="0" fieldPosition="0"/>
    </format>
    <format dxfId="1267">
      <pivotArea dataOnly="0" labelOnly="1" fieldPosition="0">
        <references count="1">
          <reference field="2" count="0"/>
        </references>
      </pivotArea>
    </format>
    <format dxfId="1266">
      <pivotArea dataOnly="0" labelOnly="1" grandCol="1" outline="0" fieldPosition="0"/>
    </format>
    <format dxfId="1254">
      <pivotArea type="all" dataOnly="0" outline="0" fieldPosition="0"/>
    </format>
    <format dxfId="1253">
      <pivotArea outline="0" collapsedLevelsAreSubtotals="1" fieldPosition="0"/>
    </format>
    <format dxfId="1252">
      <pivotArea type="origin" dataOnly="0" labelOnly="1" outline="0" fieldPosition="0"/>
    </format>
    <format dxfId="1251">
      <pivotArea field="2" type="button" dataOnly="0" labelOnly="1" outline="0" axis="axisCol" fieldPosition="0"/>
    </format>
    <format dxfId="1250">
      <pivotArea type="topRight" dataOnly="0" labelOnly="1" outline="0" fieldPosition="0"/>
    </format>
    <format dxfId="1249">
      <pivotArea field="0" type="button" dataOnly="0" labelOnly="1" outline="0" axis="axisRow" fieldPosition="0"/>
    </format>
    <format dxfId="1248">
      <pivotArea dataOnly="0" labelOnly="1" fieldPosition="0">
        <references count="1">
          <reference field="0" count="0"/>
        </references>
      </pivotArea>
    </format>
    <format dxfId="1247">
      <pivotArea dataOnly="0" labelOnly="1" grandRow="1" outline="0" fieldPosition="0"/>
    </format>
    <format dxfId="1246">
      <pivotArea dataOnly="0" labelOnly="1" fieldPosition="0">
        <references count="1">
          <reference field="2" count="0"/>
        </references>
      </pivotArea>
    </format>
    <format dxfId="1245">
      <pivotArea dataOnly="0" labelOnly="1" grandCol="1" outline="0" fieldPosition="0"/>
    </format>
    <format dxfId="1238">
      <pivotArea collapsedLevelsAreSubtotals="1" fieldPosition="0">
        <references count="1">
          <reference field="0" count="0"/>
        </references>
      </pivotArea>
    </format>
    <format dxfId="1237">
      <pivotArea dataOnly="0" labelOnly="1" fieldPosition="0">
        <references count="1">
          <reference field="0" count="0"/>
        </references>
      </pivotArea>
    </format>
    <format dxfId="1235">
      <pivotArea type="origin" dataOnly="0" labelOnly="1" outline="0" fieldPosition="0"/>
    </format>
    <format dxfId="1233">
      <pivotArea type="origin" dataOnly="0" labelOnly="1" outline="0" fieldPosition="0"/>
    </format>
    <format dxfId="1159">
      <pivotArea type="all" dataOnly="0" outline="0" fieldPosition="0"/>
    </format>
    <format dxfId="1158">
      <pivotArea outline="0" collapsedLevelsAreSubtotals="1" fieldPosition="0"/>
    </format>
    <format dxfId="1157">
      <pivotArea type="origin" dataOnly="0" labelOnly="1" outline="0" fieldPosition="0"/>
    </format>
    <format dxfId="1156">
      <pivotArea field="2" type="button" dataOnly="0" labelOnly="1" outline="0" axis="axisCol" fieldPosition="0"/>
    </format>
    <format dxfId="1155">
      <pivotArea type="topRight" dataOnly="0" labelOnly="1" outline="0" fieldPosition="0"/>
    </format>
    <format dxfId="1154">
      <pivotArea field="0" type="button" dataOnly="0" labelOnly="1" outline="0" axis="axisRow" fieldPosition="0"/>
    </format>
    <format dxfId="1153">
      <pivotArea dataOnly="0" labelOnly="1" fieldPosition="0">
        <references count="1">
          <reference field="0" count="0"/>
        </references>
      </pivotArea>
    </format>
    <format dxfId="1152">
      <pivotArea dataOnly="0" labelOnly="1" grandRow="1" outline="0" fieldPosition="0"/>
    </format>
    <format dxfId="1151">
      <pivotArea dataOnly="0" labelOnly="1" fieldPosition="0">
        <references count="1">
          <reference field="2" count="0"/>
        </references>
      </pivotArea>
    </format>
    <format dxfId="1150">
      <pivotArea dataOnly="0" labelOnly="1" grandCol="1" outline="0" fieldPosition="0"/>
    </format>
  </formats>
  <chartFormats count="3">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pivotArea type="data" outline="0" fieldPosition="0">
        <references count="3">
          <reference field="4294967294" count="1" selected="0">
            <x v="0"/>
          </reference>
          <reference field="0" count="1" selected="0">
            <x v="5"/>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31BAFF-327E-41D6-A363-4A8EFBAC375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I37:L45" firstHeaderRow="1" firstDataRow="2" firstDataCol="1"/>
  <pivotFields count="6">
    <pivotField axis="axisRow" showAll="0">
      <items count="7">
        <item x="4"/>
        <item x="0"/>
        <item x="1"/>
        <item x="3"/>
        <item x="5"/>
        <item x="2"/>
        <item t="default"/>
      </items>
    </pivotField>
    <pivotField showAll="0"/>
    <pivotField axis="axisCol" showAll="0">
      <items count="3">
        <item x="1"/>
        <item x="0"/>
        <item t="default"/>
      </items>
    </pivotField>
    <pivotField showAll="0"/>
    <pivotField showAll="0"/>
    <pivotField dataField="1" showAll="0"/>
  </pivotFields>
  <rowFields count="1">
    <field x="0"/>
  </rowFields>
  <rowItems count="7">
    <i>
      <x/>
    </i>
    <i>
      <x v="1"/>
    </i>
    <i>
      <x v="2"/>
    </i>
    <i>
      <x v="3"/>
    </i>
    <i>
      <x v="4"/>
    </i>
    <i>
      <x v="5"/>
    </i>
    <i t="grand">
      <x/>
    </i>
  </rowItems>
  <colFields count="1">
    <field x="2"/>
  </colFields>
  <colItems count="3">
    <i>
      <x/>
    </i>
    <i>
      <x v="1"/>
    </i>
    <i t="grand">
      <x/>
    </i>
  </colItems>
  <dataFields count="1">
    <dataField name="PROFIT TABLE" fld="5" baseField="0" baseItem="0"/>
  </dataFields>
  <formats count="24">
    <format dxfId="1281">
      <pivotArea grandCol="1" outline="0" collapsedLevelsAreSubtotals="1" fieldPosition="0"/>
    </format>
    <format dxfId="1280">
      <pivotArea outline="0" collapsedLevelsAreSubtotals="1" fieldPosition="0">
        <references count="1">
          <reference field="2" count="1" selected="0">
            <x v="1"/>
          </reference>
        </references>
      </pivotArea>
    </format>
    <format dxfId="1279">
      <pivotArea grandCol="1" outline="0" collapsedLevelsAreSubtotals="1" fieldPosition="0"/>
    </format>
    <format dxfId="1278">
      <pivotArea type="topRight" dataOnly="0" labelOnly="1" outline="0" fieldPosition="0"/>
    </format>
    <format dxfId="1277">
      <pivotArea dataOnly="0" labelOnly="1" fieldPosition="0">
        <references count="1">
          <reference field="2" count="1">
            <x v="1"/>
          </reference>
        </references>
      </pivotArea>
    </format>
    <format dxfId="1276">
      <pivotArea dataOnly="0" labelOnly="1" grandCol="1" outline="0" fieldPosition="0"/>
    </format>
    <format dxfId="1275">
      <pivotArea outline="0" collapsedLevelsAreSubtotals="1" fieldPosition="0">
        <references count="1">
          <reference field="2" count="1" selected="0">
            <x v="0"/>
          </reference>
        </references>
      </pivotArea>
    </format>
    <format dxfId="1274">
      <pivotArea field="2" type="button" dataOnly="0" labelOnly="1" outline="0" axis="axisCol" fieldPosition="0"/>
    </format>
    <format dxfId="1273">
      <pivotArea dataOnly="0" labelOnly="1" fieldPosition="0">
        <references count="1">
          <reference field="2" count="1">
            <x v="0"/>
          </reference>
        </references>
      </pivotArea>
    </format>
    <format dxfId="1255">
      <pivotArea type="all" dataOnly="0" outline="0" fieldPosition="0"/>
    </format>
    <format dxfId="1240">
      <pivotArea collapsedLevelsAreSubtotals="1" fieldPosition="0">
        <references count="1">
          <reference field="0" count="0"/>
        </references>
      </pivotArea>
    </format>
    <format dxfId="1239">
      <pivotArea dataOnly="0" labelOnly="1" fieldPosition="0">
        <references count="1">
          <reference field="0" count="0"/>
        </references>
      </pivotArea>
    </format>
    <format dxfId="1236">
      <pivotArea type="origin" dataOnly="0" labelOnly="1" outline="0" fieldPosition="0"/>
    </format>
    <format dxfId="1234">
      <pivotArea type="origin" dataOnly="0" labelOnly="1" outline="0" fieldPosition="0"/>
    </format>
    <format dxfId="1149">
      <pivotArea type="all" dataOnly="0" outline="0" fieldPosition="0"/>
    </format>
    <format dxfId="1148">
      <pivotArea outline="0" collapsedLevelsAreSubtotals="1" fieldPosition="0"/>
    </format>
    <format dxfId="1147">
      <pivotArea type="origin" dataOnly="0" labelOnly="1" outline="0" fieldPosition="0"/>
    </format>
    <format dxfId="1146">
      <pivotArea field="2" type="button" dataOnly="0" labelOnly="1" outline="0" axis="axisCol" fieldPosition="0"/>
    </format>
    <format dxfId="1145">
      <pivotArea type="topRight" dataOnly="0" labelOnly="1" outline="0" fieldPosition="0"/>
    </format>
    <format dxfId="1144">
      <pivotArea field="0" type="button" dataOnly="0" labelOnly="1" outline="0" axis="axisRow" fieldPosition="0"/>
    </format>
    <format dxfId="1143">
      <pivotArea dataOnly="0" labelOnly="1" fieldPosition="0">
        <references count="1">
          <reference field="0" count="0"/>
        </references>
      </pivotArea>
    </format>
    <format dxfId="1142">
      <pivotArea dataOnly="0" labelOnly="1" grandRow="1" outline="0" fieldPosition="0"/>
    </format>
    <format dxfId="1141">
      <pivotArea dataOnly="0" labelOnly="1" fieldPosition="0">
        <references count="1">
          <reference field="2" count="0"/>
        </references>
      </pivotArea>
    </format>
    <format dxfId="1140">
      <pivotArea dataOnly="0" labelOnly="1" grandCol="1" outline="0" fieldPosition="0"/>
    </format>
  </formats>
  <chartFormats count="3">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pivotArea type="data" outline="0" fieldPosition="0">
        <references count="3">
          <reference field="4294967294" count="1" selected="0">
            <x v="0"/>
          </reference>
          <reference field="0" count="1" selected="0">
            <x v="5"/>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88078B-BCCB-42D4-A457-D4C079A874D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C37:D44" firstHeaderRow="1" firstDataRow="1" firstDataCol="1"/>
  <pivotFields count="6">
    <pivotField axis="axisRow" showAll="0">
      <items count="7">
        <item x="4"/>
        <item x="0"/>
        <item x="1"/>
        <item x="3"/>
        <item x="5"/>
        <item x="2"/>
        <item t="default"/>
      </items>
    </pivotField>
    <pivotField showAll="0"/>
    <pivotField showAll="0"/>
    <pivotField showAll="0"/>
    <pivotField showAll="0"/>
    <pivotField dataField="1" showAll="0"/>
  </pivotFields>
  <rowFields count="1">
    <field x="0"/>
  </rowFields>
  <rowItems count="7">
    <i>
      <x/>
    </i>
    <i>
      <x v="1"/>
    </i>
    <i>
      <x v="2"/>
    </i>
    <i>
      <x v="3"/>
    </i>
    <i>
      <x v="4"/>
    </i>
    <i>
      <x v="5"/>
    </i>
    <i t="grand">
      <x/>
    </i>
  </rowItems>
  <colItems count="1">
    <i/>
  </colItems>
  <dataFields count="1">
    <dataField name="Profit" fld="5" baseField="0" baseItem="0" numFmtId="2"/>
  </dataFields>
  <formats count="15">
    <format dxfId="1329">
      <pivotArea outline="0" collapsedLevelsAreSubtotals="1" fieldPosition="0"/>
    </format>
    <format dxfId="1330">
      <pivotArea dataOnly="0" labelOnly="1" outline="0" axis="axisValues" fieldPosition="0"/>
    </format>
    <format dxfId="1265">
      <pivotArea type="all" dataOnly="0" outline="0" fieldPosition="0"/>
    </format>
    <format dxfId="1264">
      <pivotArea outline="0" collapsedLevelsAreSubtotals="1" fieldPosition="0"/>
    </format>
    <format dxfId="1263">
      <pivotArea field="0" type="button" dataOnly="0" labelOnly="1" outline="0" axis="axisRow" fieldPosition="0"/>
    </format>
    <format dxfId="1262">
      <pivotArea dataOnly="0" labelOnly="1" grandRow="1" outline="0" fieldPosition="0"/>
    </format>
    <format dxfId="1261">
      <pivotArea dataOnly="0" labelOnly="1" outline="0" axis="axisValues" fieldPosition="0"/>
    </format>
    <format dxfId="1244">
      <pivotArea collapsedLevelsAreSubtotals="1" fieldPosition="0">
        <references count="1">
          <reference field="0" count="0"/>
        </references>
      </pivotArea>
    </format>
    <format dxfId="1243">
      <pivotArea dataOnly="0" labelOnly="1" fieldPosition="0">
        <references count="1">
          <reference field="0" count="0"/>
        </references>
      </pivotArea>
    </format>
    <format dxfId="1206">
      <pivotArea type="all" dataOnly="0" outline="0" fieldPosition="0"/>
    </format>
    <format dxfId="1205">
      <pivotArea outline="0" collapsedLevelsAreSubtotals="1" fieldPosition="0"/>
    </format>
    <format dxfId="1204">
      <pivotArea field="0" type="button" dataOnly="0" labelOnly="1" outline="0" axis="axisRow" fieldPosition="0"/>
    </format>
    <format dxfId="1203">
      <pivotArea dataOnly="0" labelOnly="1" fieldPosition="0">
        <references count="1">
          <reference field="0" count="0"/>
        </references>
      </pivotArea>
    </format>
    <format dxfId="1202">
      <pivotArea dataOnly="0" labelOnly="1" grandRow="1" outline="0" fieldPosition="0"/>
    </format>
    <format dxfId="1201">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67D3EE-3C3C-46AD-8DF4-9ED203ECCFF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A37:B44" firstHeaderRow="1" firstDataRow="1" firstDataCol="1"/>
  <pivotFields count="9">
    <pivotField axis="axisRow" showAll="0">
      <items count="7">
        <item x="0"/>
        <item x="1"/>
        <item x="2"/>
        <item x="3"/>
        <item x="4"/>
        <item x="5"/>
        <item t="default"/>
      </items>
    </pivotField>
    <pivotField showAll="0"/>
    <pivotField numFmtId="2" showAll="0"/>
    <pivotField dataField="1" numFmtId="2" showAll="0"/>
    <pivotField numFmtId="2" showAll="0"/>
    <pivotField numFmtId="2" showAll="0"/>
    <pivotField numFmtId="2" showAll="0"/>
    <pivotField numFmtId="14" showAll="0"/>
    <pivotField numFmtId="164" showAll="0"/>
  </pivotFields>
  <rowFields count="1">
    <field x="0"/>
  </rowFields>
  <rowItems count="7">
    <i>
      <x/>
    </i>
    <i>
      <x v="1"/>
    </i>
    <i>
      <x v="2"/>
    </i>
    <i>
      <x v="3"/>
    </i>
    <i>
      <x v="4"/>
    </i>
    <i>
      <x v="5"/>
    </i>
    <i t="grand">
      <x/>
    </i>
  </rowItems>
  <colItems count="1">
    <i/>
  </colItems>
  <dataFields count="1">
    <dataField name="Sum of Units" fld="3" baseField="0" baseItem="0" numFmtId="2"/>
  </dataFields>
  <formats count="23">
    <format dxfId="1366">
      <pivotArea field="0" type="button" dataOnly="0" labelOnly="1" outline="0" axis="axisRow" fieldPosition="0"/>
    </format>
    <format dxfId="1365">
      <pivotArea dataOnly="0" labelOnly="1" outline="0" axis="axisValues" fieldPosition="0"/>
    </format>
    <format dxfId="1364">
      <pivotArea collapsedLevelsAreSubtotals="1" fieldPosition="0">
        <references count="1">
          <reference field="0" count="0"/>
        </references>
      </pivotArea>
    </format>
    <format dxfId="1363">
      <pivotArea dataOnly="0" labelOnly="1" fieldPosition="0">
        <references count="1">
          <reference field="0" count="0"/>
        </references>
      </pivotArea>
    </format>
    <format dxfId="1362">
      <pivotArea collapsedLevelsAreSubtotals="1" fieldPosition="0">
        <references count="1">
          <reference field="0" count="0"/>
        </references>
      </pivotArea>
    </format>
    <format dxfId="1361">
      <pivotArea dataOnly="0" labelOnly="1" fieldPosition="0">
        <references count="1">
          <reference field="0" count="0"/>
        </references>
      </pivotArea>
    </format>
    <format dxfId="1360">
      <pivotArea collapsedLevelsAreSubtotals="1" fieldPosition="0">
        <references count="1">
          <reference field="0" count="0"/>
        </references>
      </pivotArea>
    </format>
    <format dxfId="1359">
      <pivotArea dataOnly="0" labelOnly="1" fieldPosition="0">
        <references count="1">
          <reference field="0" count="0"/>
        </references>
      </pivotArea>
    </format>
    <format dxfId="1272">
      <pivotArea outline="0" collapsedLevelsAreSubtotals="1" fieldPosition="0"/>
    </format>
    <format dxfId="1271">
      <pivotArea dataOnly="0" labelOnly="1" outline="0" axis="axisValues" fieldPosition="0"/>
    </format>
    <format dxfId="1260">
      <pivotArea type="all" dataOnly="0" outline="0" fieldPosition="0"/>
    </format>
    <format dxfId="1259">
      <pivotArea outline="0" collapsedLevelsAreSubtotals="1" fieldPosition="0"/>
    </format>
    <format dxfId="1258">
      <pivotArea field="0" type="button" dataOnly="0" labelOnly="1" outline="0" axis="axisRow" fieldPosition="0"/>
    </format>
    <format dxfId="1257">
      <pivotArea dataOnly="0" labelOnly="1" grandRow="1" outline="0" fieldPosition="0"/>
    </format>
    <format dxfId="1256">
      <pivotArea dataOnly="0" labelOnly="1" outline="0" axis="axisValues" fieldPosition="0"/>
    </format>
    <format dxfId="1242">
      <pivotArea collapsedLevelsAreSubtotals="1" fieldPosition="0">
        <references count="1">
          <reference field="0" count="0"/>
        </references>
      </pivotArea>
    </format>
    <format dxfId="1241">
      <pivotArea dataOnly="0" labelOnly="1" fieldPosition="0">
        <references count="1">
          <reference field="0" count="0"/>
        </references>
      </pivotArea>
    </format>
    <format dxfId="1199">
      <pivotArea type="all" dataOnly="0" outline="0" fieldPosition="0"/>
    </format>
    <format dxfId="1198">
      <pivotArea outline="0" collapsedLevelsAreSubtotals="1" fieldPosition="0"/>
    </format>
    <format dxfId="1197">
      <pivotArea field="0" type="button" dataOnly="0" labelOnly="1" outline="0" axis="axisRow" fieldPosition="0"/>
    </format>
    <format dxfId="1196">
      <pivotArea dataOnly="0" labelOnly="1" fieldPosition="0">
        <references count="1">
          <reference field="0" count="0"/>
        </references>
      </pivotArea>
    </format>
    <format dxfId="1195">
      <pivotArea dataOnly="0" labelOnly="1" grandRow="1" outline="0" fieldPosition="0"/>
    </format>
    <format dxfId="1194">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A2FC884-180F-421C-B609-D30B4ADF5874}" autoFormatId="16" applyNumberFormats="0" applyBorderFormats="0" applyFontFormats="0" applyPatternFormats="0" applyAlignmentFormats="0" applyWidthHeightFormats="0">
  <queryTableRefresh nextId="6">
    <queryTableFields count="5">
      <queryTableField id="1" name="Product_Category" tableColumnId="1"/>
      <queryTableField id="2" name="Sub_Category" tableColumnId="2"/>
      <queryTableField id="3" name="units" tableColumnId="3"/>
      <queryTableField id="4" name="revenue" tableColumnId="4"/>
      <queryTableField id="5" name="profit" tableColumnId="5"/>
    </queryTableFields>
  </queryTableRefresh>
  <extLst>
    <ext xmlns:x15="http://schemas.microsoft.com/office/spreadsheetml/2010/11/main" uri="{883FBD77-0823-4a55-B5E3-86C4891E6966}">
      <x15:queryTable sourceDataName="Query - vw_category_kp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549775F-7130-41A1-A1CC-F1AEAB9D61AA}" autoFormatId="16" applyNumberFormats="0" applyBorderFormats="0" applyFontFormats="0" applyPatternFormats="0" applyAlignmentFormats="0" applyWidthHeightFormats="0">
  <queryTableRefresh nextId="12" unboundColumnsRight="2">
    <queryTableFields count="9">
      <queryTableField id="1" name="Year" tableColumnId="1"/>
      <queryTableField id="2" name="Month" tableColumnId="2"/>
      <queryTableField id="3" name="transactions" tableColumnId="3"/>
      <queryTableField id="4" name="units" tableColumnId="4"/>
      <queryTableField id="5" name="revenue" tableColumnId="5"/>
      <queryTableField id="6" name="cost" tableColumnId="6"/>
      <queryTableField id="7" name="profit" tableColumnId="7"/>
      <queryTableField id="10" dataBound="0" tableColumnId="10"/>
      <queryTableField id="11" dataBound="0" tableColumnId="11"/>
    </queryTableFields>
  </queryTableRefresh>
  <extLst>
    <ext xmlns:x15="http://schemas.microsoft.com/office/spreadsheetml/2010/11/main" uri="{883FBD77-0823-4a55-B5E3-86C4891E6966}">
      <x15:queryTable sourceDataName="Query - vw_monthly_kpi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EE2F09E-1298-46AB-9A74-A3F982471B19}" autoFormatId="16" applyNumberFormats="0" applyBorderFormats="0" applyFontFormats="0" applyPatternFormats="0" applyAlignmentFormats="0" applyWidthHeightFormats="0">
  <queryTableRefresh nextId="7">
    <queryTableFields count="6">
      <queryTableField id="1" name="Country" tableColumnId="1"/>
      <queryTableField id="2" name="Age_Group" tableColumnId="2"/>
      <queryTableField id="3" name="Customer_Gender" tableColumnId="3"/>
      <queryTableField id="4" name="transactions" tableColumnId="4"/>
      <queryTableField id="5" name="revenue" tableColumnId="5"/>
      <queryTableField id="6" name="profit" tableColumnId="6"/>
    </queryTableFields>
  </queryTableRefresh>
  <extLst>
    <ext xmlns:x15="http://schemas.microsoft.com/office/spreadsheetml/2010/11/main" uri="{883FBD77-0823-4a55-B5E3-86C4891E6966}">
      <x15:queryTable sourceDataName="Query - vw_customer_segmen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9091E63-7690-4646-9BD5-E5759EBD7EF4}" sourceName="Country">
  <pivotTables>
    <pivotTable tabId="5" name="PivotTable1"/>
  </pivotTables>
  <data>
    <tabular pivotCacheId="1383351795">
      <items count="6">
        <i x="4" s="1"/>
        <i x="0" s="1"/>
        <i x="1" s="1"/>
        <i x="3"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745DE1C-7AA2-4955-833B-B874B981E6D0}" sourceName="Sub_Category">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 Category" xr10:uid="{D6BA608E-AA0E-4889-ADF9-777AF378EA7B}" cache="Slicer_Sub_Category" caption="Sub Category" style="SlicerStyleOther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18604D-3C75-4707-8B6B-4CF44BA12C5D}" cache="Slicer_Country" caption="Country"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FBC9B1-3F70-4BB3-80A5-40CF3B7ED477}" name="vw_category_kpis" displayName="vw_category_kpis" ref="A1:E18" tableType="queryTable" totalsRowShown="0" headerRowDxfId="1368" dataDxfId="1339" tableBorderDxfId="1367">
  <autoFilter ref="A1:E18" xr:uid="{B5FBC9B1-3F70-4BB3-80A5-40CF3B7ED477}"/>
  <sortState xmlns:xlrd2="http://schemas.microsoft.com/office/spreadsheetml/2017/richdata2" ref="A2:E18">
    <sortCondition descending="1" ref="D9:D18"/>
  </sortState>
  <tableColumns count="5">
    <tableColumn id="1" xr3:uid="{47576852-371F-49E5-85D0-541B5FDED551}" uniqueName="1" name="Product_Category" queryTableFieldId="1" dataDxfId="1344"/>
    <tableColumn id="2" xr3:uid="{9DA0B205-8368-4131-90F2-9E2C2121FCB8}" uniqueName="2" name="Sub_Category" queryTableFieldId="2" dataDxfId="1343"/>
    <tableColumn id="3" xr3:uid="{EAB41828-AC11-4243-BB5C-183E8493AECB}" uniqueName="3" name="units" queryTableFieldId="3" dataDxfId="1342"/>
    <tableColumn id="4" xr3:uid="{D8618AF6-9D47-4AA2-810F-36D158E98513}" uniqueName="4" name="revenue" queryTableFieldId="4" dataDxfId="1341"/>
    <tableColumn id="5" xr3:uid="{52F0A153-5133-461D-8CFB-948C53D2597F}" uniqueName="5" name="profit" queryTableFieldId="5" dataDxfId="13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E3509-CD8C-4018-9DC5-AF5E08B8DED8}" name="vw_monthly_kpis" displayName="vw_monthly_kpis" ref="A1:I63" tableType="queryTable" totalsRowShown="0" headerRowDxfId="1358" dataDxfId="1356" headerRowBorderDxfId="1357" tableBorderDxfId="1355" totalsRowBorderDxfId="1354">
  <autoFilter ref="A1:I63" xr:uid="{21DE3509-CD8C-4018-9DC5-AF5E08B8DED8}"/>
  <sortState xmlns:xlrd2="http://schemas.microsoft.com/office/spreadsheetml/2017/richdata2" ref="A2:H63">
    <sortCondition ref="H2:H63"/>
  </sortState>
  <tableColumns count="9">
    <tableColumn id="1" xr3:uid="{4C4CE9F4-5083-43EC-ABC5-0F6B55D91120}" uniqueName="1" name="Year" queryTableFieldId="1" dataDxfId="1353"/>
    <tableColumn id="2" xr3:uid="{5B52ACD9-3800-449F-8B79-06FEB5DB876C}" uniqueName="2" name="Month" queryTableFieldId="2" dataDxfId="1352"/>
    <tableColumn id="3" xr3:uid="{0CE211D0-DFBE-4615-A050-AF722DF602B9}" uniqueName="3" name="Transactions" queryTableFieldId="3" dataDxfId="1351"/>
    <tableColumn id="4" xr3:uid="{2FC0BCE9-9A7A-472A-87EA-6593956DEA48}" uniqueName="4" name="Units" queryTableFieldId="4" dataDxfId="1350"/>
    <tableColumn id="5" xr3:uid="{27896BC2-DCE6-4777-9CC4-545BE54A2D63}" uniqueName="5" name="Revenue" queryTableFieldId="5" dataDxfId="1349"/>
    <tableColumn id="6" xr3:uid="{A4461EDD-DF4D-4FBA-8552-9B7639FFE084}" uniqueName="6" name="Cost" queryTableFieldId="6" dataDxfId="1348"/>
    <tableColumn id="7" xr3:uid="{DDC55D2B-536E-4E81-B422-BD2F6CAD25C7}" uniqueName="7" name="Profit" queryTableFieldId="7" dataDxfId="1347"/>
    <tableColumn id="10" xr3:uid="{43397683-67AE-47EC-A8C0-7D48FCFFAF9E}" uniqueName="10" name="Date" queryTableFieldId="10" dataDxfId="1346">
      <calculatedColumnFormula>DATE(A2, MONTH(DATEVALUE(B2&amp;" 1")), 1)</calculatedColumnFormula>
    </tableColumn>
    <tableColumn id="11" xr3:uid="{05603DBF-17E1-43BD-9C30-01C9D9B47282}" uniqueName="11" name="Profit Margin" queryTableFieldId="11" dataDxfId="1345">
      <calculatedColumnFormula xml:space="preserve"> vw_monthly_kpis[[#This Row],[Profit]] / vw_monthly_kpis[[#This Row],[Revenue]]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BEF3F7-AA00-48CB-A90B-E7A01179314C}" name="vw_customer_segments" displayName="vw_customer_segments" ref="A1:F49" tableType="queryTable" totalsRowShown="0" headerRowDxfId="1338" dataDxfId="1335">
  <autoFilter ref="A1:F49" xr:uid="{1ABEF3F7-AA00-48CB-A90B-E7A01179314C}"/>
  <tableColumns count="6">
    <tableColumn id="1" xr3:uid="{A1B5AF09-DE61-4552-8845-D87ABA3AF096}" uniqueName="1" name="Country" queryTableFieldId="1" dataDxfId="1337"/>
    <tableColumn id="2" xr3:uid="{3B56F48B-BDB0-4DB3-B900-70F5E5E47C3F}" uniqueName="2" name="Age_Group" queryTableFieldId="2" dataDxfId="1336"/>
    <tableColumn id="3" xr3:uid="{5104FA57-A66C-4B86-81C5-3F5E01B726DC}" uniqueName="3" name="Customer_Gender" queryTableFieldId="3" dataDxfId="1331"/>
    <tableColumn id="4" xr3:uid="{43256016-89F1-4907-B0A5-E04C78BB3228}" uniqueName="4" name="transactions" queryTableFieldId="4" dataDxfId="1334"/>
    <tableColumn id="5" xr3:uid="{F4CA40BE-D6E6-4ED7-AA04-D5136BFB702B}" uniqueName="5" name="revenue" queryTableFieldId="5" dataDxfId="1333"/>
    <tableColumn id="6" xr3:uid="{A5903647-4993-44E8-9DAE-0D2F34973DB8}" uniqueName="6" name="profit" queryTableFieldId="6" dataDxfId="13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4.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B2469-4D8F-45B7-9183-ABC1DF7653A0}">
  <sheetPr>
    <tabColor theme="3" tint="0.89999084444715716"/>
  </sheetPr>
  <dimension ref="A1:E18"/>
  <sheetViews>
    <sheetView workbookViewId="0">
      <selection activeCell="X3" sqref="X3"/>
    </sheetView>
  </sheetViews>
  <sheetFormatPr defaultRowHeight="16.5" x14ac:dyDescent="0.45"/>
  <cols>
    <col min="1" max="1" width="17.90625" style="4" bestFit="1" customWidth="1"/>
    <col min="2" max="2" width="15.453125" style="4" bestFit="1" customWidth="1"/>
    <col min="3" max="5" width="12.1796875" style="5" customWidth="1"/>
  </cols>
  <sheetData>
    <row r="1" spans="1:5" x14ac:dyDescent="0.45">
      <c r="A1" s="9" t="s">
        <v>18</v>
      </c>
      <c r="B1" s="9" t="s">
        <v>19</v>
      </c>
      <c r="C1" s="10" t="s">
        <v>3</v>
      </c>
      <c r="D1" s="10" t="s">
        <v>4</v>
      </c>
      <c r="E1" s="10" t="s">
        <v>5</v>
      </c>
    </row>
    <row r="2" spans="1:5" ht="16" x14ac:dyDescent="0.45">
      <c r="A2" s="36" t="s">
        <v>32</v>
      </c>
      <c r="B2" s="37" t="s">
        <v>34</v>
      </c>
      <c r="C2" s="38">
        <v>19771</v>
      </c>
      <c r="D2" s="38">
        <v>33363061</v>
      </c>
      <c r="E2" s="39">
        <v>10078875</v>
      </c>
    </row>
    <row r="3" spans="1:5" ht="16" x14ac:dyDescent="0.45">
      <c r="A3" s="36" t="s">
        <v>32</v>
      </c>
      <c r="B3" s="37" t="s">
        <v>33</v>
      </c>
      <c r="C3" s="38">
        <v>11992</v>
      </c>
      <c r="D3" s="38">
        <v>21123526</v>
      </c>
      <c r="E3" s="39">
        <v>8160463</v>
      </c>
    </row>
    <row r="4" spans="1:5" ht="16" x14ac:dyDescent="0.45">
      <c r="A4" s="36" t="s">
        <v>32</v>
      </c>
      <c r="B4" s="37" t="s">
        <v>38</v>
      </c>
      <c r="C4" s="38">
        <v>4648</v>
      </c>
      <c r="D4" s="38">
        <v>7295547</v>
      </c>
      <c r="E4" s="39">
        <v>2279938</v>
      </c>
    </row>
    <row r="5" spans="1:5" ht="16" x14ac:dyDescent="0.45">
      <c r="A5" s="36" t="s">
        <v>20</v>
      </c>
      <c r="B5" s="37" t="s">
        <v>29</v>
      </c>
      <c r="C5" s="38">
        <v>181606</v>
      </c>
      <c r="D5" s="38">
        <v>5741081</v>
      </c>
      <c r="E5" s="39">
        <v>3380203</v>
      </c>
    </row>
    <row r="6" spans="1:5" ht="16" x14ac:dyDescent="0.45">
      <c r="A6" s="36" t="s">
        <v>20</v>
      </c>
      <c r="B6" s="37" t="s">
        <v>37</v>
      </c>
      <c r="C6" s="38">
        <v>514051</v>
      </c>
      <c r="D6" s="38">
        <v>4670902</v>
      </c>
      <c r="E6" s="39">
        <v>2727713</v>
      </c>
    </row>
    <row r="7" spans="1:5" ht="16" x14ac:dyDescent="0.45">
      <c r="A7" s="36" t="s">
        <v>24</v>
      </c>
      <c r="B7" s="37" t="s">
        <v>31</v>
      </c>
      <c r="C7" s="38">
        <v>88125</v>
      </c>
      <c r="D7" s="38">
        <v>4113742</v>
      </c>
      <c r="E7" s="39">
        <v>603568</v>
      </c>
    </row>
    <row r="8" spans="1:5" ht="16" x14ac:dyDescent="0.45">
      <c r="A8" s="36" t="s">
        <v>24</v>
      </c>
      <c r="B8" s="37" t="s">
        <v>35</v>
      </c>
      <c r="C8" s="38">
        <v>27168</v>
      </c>
      <c r="D8" s="38">
        <v>1740710</v>
      </c>
      <c r="E8" s="39">
        <v>1034342</v>
      </c>
    </row>
    <row r="9" spans="1:5" ht="16" x14ac:dyDescent="0.45">
      <c r="A9" s="36" t="s">
        <v>20</v>
      </c>
      <c r="B9" s="37" t="s">
        <v>23</v>
      </c>
      <c r="C9" s="38">
        <v>241726</v>
      </c>
      <c r="D9" s="38">
        <v>1409174</v>
      </c>
      <c r="E9" s="39">
        <v>810598</v>
      </c>
    </row>
    <row r="10" spans="1:5" ht="16" x14ac:dyDescent="0.45">
      <c r="A10" s="36" t="s">
        <v>20</v>
      </c>
      <c r="B10" s="37" t="s">
        <v>27</v>
      </c>
      <c r="C10" s="38">
        <v>62138</v>
      </c>
      <c r="D10" s="38">
        <v>1245733</v>
      </c>
      <c r="E10" s="39">
        <v>748914</v>
      </c>
    </row>
    <row r="11" spans="1:5" ht="16" x14ac:dyDescent="0.45">
      <c r="A11" s="36" t="s">
        <v>20</v>
      </c>
      <c r="B11" s="37" t="s">
        <v>30</v>
      </c>
      <c r="C11" s="38">
        <v>19914</v>
      </c>
      <c r="D11" s="38">
        <v>990406</v>
      </c>
      <c r="E11" s="39">
        <v>572668</v>
      </c>
    </row>
    <row r="12" spans="1:5" ht="16" x14ac:dyDescent="0.45">
      <c r="A12" s="36" t="s">
        <v>24</v>
      </c>
      <c r="B12" s="37" t="s">
        <v>39</v>
      </c>
      <c r="C12" s="38">
        <v>14526</v>
      </c>
      <c r="D12" s="38">
        <v>949063</v>
      </c>
      <c r="E12" s="39">
        <v>518791</v>
      </c>
    </row>
    <row r="13" spans="1:5" ht="16" x14ac:dyDescent="0.45">
      <c r="A13" s="36" t="s">
        <v>24</v>
      </c>
      <c r="B13" s="37" t="s">
        <v>28</v>
      </c>
      <c r="C13" s="38">
        <v>39978</v>
      </c>
      <c r="D13" s="38">
        <v>871419</v>
      </c>
      <c r="E13" s="39">
        <v>511654</v>
      </c>
    </row>
    <row r="14" spans="1:5" ht="16" x14ac:dyDescent="0.45">
      <c r="A14" s="36" t="s">
        <v>24</v>
      </c>
      <c r="B14" s="37" t="s">
        <v>25</v>
      </c>
      <c r="C14" s="38">
        <v>67268</v>
      </c>
      <c r="D14" s="38">
        <v>548777</v>
      </c>
      <c r="E14" s="39">
        <v>77921</v>
      </c>
    </row>
    <row r="15" spans="1:5" ht="16" x14ac:dyDescent="0.45">
      <c r="A15" s="36" t="s">
        <v>20</v>
      </c>
      <c r="B15" s="37" t="s">
        <v>21</v>
      </c>
      <c r="C15" s="38">
        <v>4741</v>
      </c>
      <c r="D15" s="38">
        <v>517800</v>
      </c>
      <c r="E15" s="39">
        <v>304455</v>
      </c>
    </row>
    <row r="16" spans="1:5" ht="16" x14ac:dyDescent="0.45">
      <c r="A16" s="36" t="s">
        <v>20</v>
      </c>
      <c r="B16" s="37" t="s">
        <v>22</v>
      </c>
      <c r="C16" s="38">
        <v>2412</v>
      </c>
      <c r="D16" s="38">
        <v>344075</v>
      </c>
      <c r="E16" s="39">
        <v>201935</v>
      </c>
    </row>
    <row r="17" spans="1:5" ht="16" x14ac:dyDescent="0.45">
      <c r="A17" s="36" t="s">
        <v>20</v>
      </c>
      <c r="B17" s="37" t="s">
        <v>26</v>
      </c>
      <c r="C17" s="38">
        <v>27574</v>
      </c>
      <c r="D17" s="38">
        <v>198821</v>
      </c>
      <c r="E17" s="39">
        <v>115891</v>
      </c>
    </row>
    <row r="18" spans="1:5" ht="16" x14ac:dyDescent="0.45">
      <c r="A18" s="40" t="s">
        <v>24</v>
      </c>
      <c r="B18" s="41" t="s">
        <v>36</v>
      </c>
      <c r="C18" s="42">
        <v>17678</v>
      </c>
      <c r="D18" s="42">
        <v>147171</v>
      </c>
      <c r="E18" s="43">
        <v>93171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63559-A2AC-4940-A662-4C4D86B47D93}">
  <sheetPr>
    <tabColor theme="3" tint="0.749992370372631"/>
  </sheetPr>
  <dimension ref="A26:D32"/>
  <sheetViews>
    <sheetView zoomScale="80" zoomScaleNormal="80" workbookViewId="0">
      <selection activeCell="N8" sqref="N8"/>
    </sheetView>
  </sheetViews>
  <sheetFormatPr defaultRowHeight="17.5" x14ac:dyDescent="0.45"/>
  <cols>
    <col min="1" max="1" width="20.54296875" style="1" bestFit="1" customWidth="1"/>
    <col min="2" max="2" width="18.7265625" style="2" bestFit="1" customWidth="1"/>
    <col min="3" max="4" width="14.453125" style="2" bestFit="1" customWidth="1"/>
    <col min="5" max="5" width="14.453125" bestFit="1" customWidth="1"/>
    <col min="6" max="6" width="15.453125" customWidth="1"/>
    <col min="18" max="21" width="18.08984375" customWidth="1"/>
  </cols>
  <sheetData>
    <row r="26" spans="1:4" x14ac:dyDescent="0.45">
      <c r="A26" s="8" t="s">
        <v>56</v>
      </c>
      <c r="B26" s="7" t="s">
        <v>57</v>
      </c>
      <c r="C26" s="7"/>
      <c r="D26" s="7"/>
    </row>
    <row r="27" spans="1:4" x14ac:dyDescent="0.45">
      <c r="A27" s="8" t="s">
        <v>66</v>
      </c>
      <c r="B27" s="7" t="s">
        <v>48</v>
      </c>
      <c r="C27" s="7" t="s">
        <v>45</v>
      </c>
      <c r="D27" s="8" t="s">
        <v>55</v>
      </c>
    </row>
    <row r="28" spans="1:4" ht="16.5" x14ac:dyDescent="0.45">
      <c r="A28" s="34" t="s">
        <v>44</v>
      </c>
      <c r="B28" s="35">
        <v>5342158</v>
      </c>
      <c r="C28" s="35">
        <v>6381041</v>
      </c>
      <c r="D28" s="35">
        <v>11723199</v>
      </c>
    </row>
    <row r="29" spans="1:4" ht="16.5" x14ac:dyDescent="0.45">
      <c r="A29" s="34" t="s">
        <v>51</v>
      </c>
      <c r="B29" s="35">
        <v>15194242</v>
      </c>
      <c r="C29" s="35">
        <v>15461372</v>
      </c>
      <c r="D29" s="35">
        <v>30655614</v>
      </c>
    </row>
    <row r="30" spans="1:4" ht="16.5" x14ac:dyDescent="0.45">
      <c r="A30" s="34" t="s">
        <v>50</v>
      </c>
      <c r="B30" s="35">
        <v>21269149</v>
      </c>
      <c r="C30" s="35">
        <v>21315004</v>
      </c>
      <c r="D30" s="35">
        <v>42584153</v>
      </c>
    </row>
    <row r="31" spans="1:4" ht="16.5" x14ac:dyDescent="0.45">
      <c r="A31" s="34" t="s">
        <v>47</v>
      </c>
      <c r="B31" s="35">
        <v>130050</v>
      </c>
      <c r="C31" s="35">
        <v>177992</v>
      </c>
      <c r="D31" s="35">
        <v>308042</v>
      </c>
    </row>
    <row r="32" spans="1:4" x14ac:dyDescent="0.45">
      <c r="A32" s="6" t="s">
        <v>55</v>
      </c>
      <c r="B32" s="7">
        <v>41935599</v>
      </c>
      <c r="C32" s="7">
        <v>43335409</v>
      </c>
      <c r="D32" s="7">
        <v>85271008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36BF8-4440-411D-8081-8086C343FC85}">
  <sheetPr>
    <tabColor theme="4" tint="0.79998168889431442"/>
  </sheetPr>
  <dimension ref="A37:L45"/>
  <sheetViews>
    <sheetView tabSelected="1" zoomScale="90" zoomScaleNormal="90" workbookViewId="0">
      <selection activeCell="R28" sqref="R28"/>
    </sheetView>
  </sheetViews>
  <sheetFormatPr defaultRowHeight="14.5" x14ac:dyDescent="0.35"/>
  <cols>
    <col min="1" max="1" width="14.08984375" bestFit="1" customWidth="1"/>
    <col min="2" max="2" width="15.6328125" style="3" bestFit="1" customWidth="1"/>
    <col min="3" max="3" width="11.36328125" bestFit="1" customWidth="1"/>
    <col min="4" max="4" width="11.36328125" style="19" bestFit="1" customWidth="1"/>
    <col min="5" max="5" width="13.6328125" customWidth="1"/>
    <col min="6" max="8" width="13.7265625" customWidth="1"/>
    <col min="9" max="12" width="13.453125" customWidth="1"/>
    <col min="13" max="13" width="12.1796875" customWidth="1"/>
  </cols>
  <sheetData>
    <row r="37" spans="1:12" x14ac:dyDescent="0.35">
      <c r="A37" s="50" t="s">
        <v>0</v>
      </c>
      <c r="B37" s="51" t="s">
        <v>65</v>
      </c>
      <c r="C37" s="52" t="s">
        <v>40</v>
      </c>
      <c r="D37" s="53" t="s">
        <v>59</v>
      </c>
      <c r="E37" s="71" t="s">
        <v>68</v>
      </c>
      <c r="F37" s="72" t="s">
        <v>57</v>
      </c>
      <c r="G37" s="64"/>
      <c r="H37" s="64"/>
      <c r="I37" s="71" t="s">
        <v>67</v>
      </c>
      <c r="J37" s="72" t="s">
        <v>57</v>
      </c>
      <c r="K37" s="64"/>
      <c r="L37" s="68"/>
    </row>
    <row r="38" spans="1:12" ht="16" x14ac:dyDescent="0.45">
      <c r="A38" s="65">
        <v>2011</v>
      </c>
      <c r="B38" s="59">
        <v>5260</v>
      </c>
      <c r="C38" s="58" t="s">
        <v>53</v>
      </c>
      <c r="D38" s="66">
        <v>6776030</v>
      </c>
      <c r="E38" s="73" t="s">
        <v>40</v>
      </c>
      <c r="F38" s="64" t="s">
        <v>48</v>
      </c>
      <c r="G38" s="64" t="s">
        <v>45</v>
      </c>
      <c r="H38" s="64" t="s">
        <v>55</v>
      </c>
      <c r="I38" s="73" t="s">
        <v>40</v>
      </c>
      <c r="J38" s="64" t="s">
        <v>48</v>
      </c>
      <c r="K38" s="64" t="s">
        <v>45</v>
      </c>
      <c r="L38" s="68" t="s">
        <v>55</v>
      </c>
    </row>
    <row r="39" spans="1:12" ht="16" x14ac:dyDescent="0.45">
      <c r="A39" s="67">
        <v>2012</v>
      </c>
      <c r="B39" s="60">
        <v>5354</v>
      </c>
      <c r="C39" s="61" t="s">
        <v>43</v>
      </c>
      <c r="D39" s="68">
        <v>3717296</v>
      </c>
      <c r="E39" s="61" t="s">
        <v>53</v>
      </c>
      <c r="F39" s="64">
        <v>10860546</v>
      </c>
      <c r="G39" s="64">
        <v>10441513</v>
      </c>
      <c r="H39" s="64">
        <v>21302059</v>
      </c>
      <c r="I39" s="61" t="s">
        <v>53</v>
      </c>
      <c r="J39" s="64">
        <v>3442891</v>
      </c>
      <c r="K39" s="64">
        <v>3333139</v>
      </c>
      <c r="L39" s="68">
        <v>6776030</v>
      </c>
    </row>
    <row r="40" spans="1:12" ht="16" x14ac:dyDescent="0.45">
      <c r="A40" s="67">
        <v>2013</v>
      </c>
      <c r="B40" s="60">
        <v>294787</v>
      </c>
      <c r="C40" s="61" t="s">
        <v>46</v>
      </c>
      <c r="D40" s="68">
        <v>2880282</v>
      </c>
      <c r="E40" s="61" t="s">
        <v>43</v>
      </c>
      <c r="F40" s="64">
        <v>3663981</v>
      </c>
      <c r="G40" s="64">
        <v>4271757</v>
      </c>
      <c r="H40" s="64">
        <v>7935738</v>
      </c>
      <c r="I40" s="61" t="s">
        <v>43</v>
      </c>
      <c r="J40" s="64">
        <v>1673682</v>
      </c>
      <c r="K40" s="64">
        <v>2043614</v>
      </c>
      <c r="L40" s="68">
        <v>3717296</v>
      </c>
    </row>
    <row r="41" spans="1:12" ht="16" x14ac:dyDescent="0.45">
      <c r="A41" s="67">
        <v>2014</v>
      </c>
      <c r="B41" s="60">
        <v>379585</v>
      </c>
      <c r="C41" s="61" t="s">
        <v>52</v>
      </c>
      <c r="D41" s="68">
        <v>3359995</v>
      </c>
      <c r="E41" s="61" t="s">
        <v>46</v>
      </c>
      <c r="F41" s="64">
        <v>4014681</v>
      </c>
      <c r="G41" s="64">
        <v>4418191</v>
      </c>
      <c r="H41" s="64">
        <v>8432872</v>
      </c>
      <c r="I41" s="61" t="s">
        <v>46</v>
      </c>
      <c r="J41" s="64">
        <v>1389540</v>
      </c>
      <c r="K41" s="64">
        <v>1490742</v>
      </c>
      <c r="L41" s="68">
        <v>2880282</v>
      </c>
    </row>
    <row r="42" spans="1:12" ht="16" x14ac:dyDescent="0.45">
      <c r="A42" s="67">
        <v>2015</v>
      </c>
      <c r="B42" s="60">
        <v>289517</v>
      </c>
      <c r="C42" s="61" t="s">
        <v>54</v>
      </c>
      <c r="D42" s="68">
        <v>4413853</v>
      </c>
      <c r="E42" s="61" t="s">
        <v>52</v>
      </c>
      <c r="F42" s="64">
        <v>4722830</v>
      </c>
      <c r="G42" s="64">
        <v>4255766</v>
      </c>
      <c r="H42" s="64">
        <v>8978596</v>
      </c>
      <c r="I42" s="61" t="s">
        <v>52</v>
      </c>
      <c r="J42" s="64">
        <v>1768237</v>
      </c>
      <c r="K42" s="64">
        <v>1591758</v>
      </c>
      <c r="L42" s="68">
        <v>3359995</v>
      </c>
    </row>
    <row r="43" spans="1:12" ht="16" x14ac:dyDescent="0.45">
      <c r="A43" s="69">
        <v>2016</v>
      </c>
      <c r="B43" s="62">
        <v>370813</v>
      </c>
      <c r="C43" s="63" t="s">
        <v>49</v>
      </c>
      <c r="D43" s="70">
        <v>11073644</v>
      </c>
      <c r="E43" s="61" t="s">
        <v>54</v>
      </c>
      <c r="F43" s="64">
        <v>5286307</v>
      </c>
      <c r="G43" s="64">
        <v>5359889</v>
      </c>
      <c r="H43" s="64">
        <v>10646196</v>
      </c>
      <c r="I43" s="61" t="s">
        <v>54</v>
      </c>
      <c r="J43" s="64">
        <v>2209407</v>
      </c>
      <c r="K43" s="64">
        <v>2204446</v>
      </c>
      <c r="L43" s="68">
        <v>4413853</v>
      </c>
    </row>
    <row r="44" spans="1:12" x14ac:dyDescent="0.35">
      <c r="A44" s="54" t="s">
        <v>55</v>
      </c>
      <c r="B44" s="55">
        <v>1345316</v>
      </c>
      <c r="C44" s="56" t="s">
        <v>55</v>
      </c>
      <c r="D44" s="57">
        <v>32221100</v>
      </c>
      <c r="E44" s="61" t="s">
        <v>49</v>
      </c>
      <c r="F44" s="64">
        <v>13387254</v>
      </c>
      <c r="G44" s="64">
        <v>14588293</v>
      </c>
      <c r="H44" s="64">
        <v>27975547</v>
      </c>
      <c r="I44" s="61" t="s">
        <v>49</v>
      </c>
      <c r="J44" s="64">
        <v>5250111</v>
      </c>
      <c r="K44" s="64">
        <v>5823533</v>
      </c>
      <c r="L44" s="68">
        <v>11073644</v>
      </c>
    </row>
    <row r="45" spans="1:12" x14ac:dyDescent="0.35">
      <c r="E45" s="61" t="s">
        <v>55</v>
      </c>
      <c r="F45" s="64">
        <v>41935599</v>
      </c>
      <c r="G45" s="64">
        <v>43335409</v>
      </c>
      <c r="H45" s="64">
        <v>85271008</v>
      </c>
      <c r="I45" s="61" t="s">
        <v>55</v>
      </c>
      <c r="J45" s="64">
        <v>15733868</v>
      </c>
      <c r="K45" s="64">
        <v>16487232</v>
      </c>
      <c r="L45" s="68">
        <v>32221100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5375-BE38-4F18-AADC-BCA85AB14001}">
  <sheetPr>
    <tabColor theme="7" tint="0.79998168889431442"/>
  </sheetPr>
  <dimension ref="A1:I63"/>
  <sheetViews>
    <sheetView zoomScale="80" zoomScaleNormal="80" workbookViewId="0">
      <selection activeCell="E20" sqref="E20"/>
    </sheetView>
  </sheetViews>
  <sheetFormatPr defaultRowHeight="14.5" x14ac:dyDescent="0.35"/>
  <cols>
    <col min="1" max="1" width="10.26953125" customWidth="1"/>
    <col min="2" max="2" width="11.6328125" customWidth="1"/>
    <col min="3" max="3" width="13.81640625" style="3" bestFit="1" customWidth="1"/>
    <col min="4" max="4" width="9.26953125" style="3" customWidth="1"/>
    <col min="5" max="5" width="13" style="3" customWidth="1"/>
    <col min="6" max="7" width="11.08984375" style="3" bestFit="1" customWidth="1"/>
    <col min="8" max="8" width="12.453125" style="15" customWidth="1"/>
    <col min="9" max="9" width="12.6328125" style="18" customWidth="1"/>
  </cols>
  <sheetData>
    <row r="1" spans="1:9" ht="16" x14ac:dyDescent="0.45">
      <c r="A1" s="11" t="s">
        <v>0</v>
      </c>
      <c r="B1" s="12" t="s">
        <v>1</v>
      </c>
      <c r="C1" s="13" t="s">
        <v>63</v>
      </c>
      <c r="D1" s="13" t="s">
        <v>62</v>
      </c>
      <c r="E1" s="13" t="s">
        <v>61</v>
      </c>
      <c r="F1" s="13" t="s">
        <v>60</v>
      </c>
      <c r="G1" s="14" t="s">
        <v>59</v>
      </c>
      <c r="H1" s="16" t="s">
        <v>58</v>
      </c>
      <c r="I1" s="17" t="s">
        <v>64</v>
      </c>
    </row>
    <row r="2" spans="1:9" ht="16" x14ac:dyDescent="0.45">
      <c r="A2" s="20">
        <v>2011</v>
      </c>
      <c r="B2" s="21" t="s">
        <v>17</v>
      </c>
      <c r="C2" s="22">
        <v>188</v>
      </c>
      <c r="D2" s="22">
        <v>362</v>
      </c>
      <c r="E2" s="22">
        <v>675193</v>
      </c>
      <c r="F2" s="22">
        <v>462344</v>
      </c>
      <c r="G2" s="23">
        <v>212849</v>
      </c>
      <c r="H2" s="24">
        <f t="shared" ref="H2:H33" si="0">DATE(A2, MONTH(DATEVALUE(B2&amp;" 1")), 1)</f>
        <v>40544</v>
      </c>
      <c r="I2" s="25">
        <f xml:space="preserve"> vw_monthly_kpis[[#This Row],[Profit]] / vw_monthly_kpis[[#This Row],[Revenue]]</f>
        <v>0.3152417160722934</v>
      </c>
    </row>
    <row r="3" spans="1:9" ht="16" x14ac:dyDescent="0.45">
      <c r="A3" s="20">
        <v>2011</v>
      </c>
      <c r="B3" s="21" t="s">
        <v>16</v>
      </c>
      <c r="C3" s="22">
        <v>171</v>
      </c>
      <c r="D3" s="22">
        <v>347</v>
      </c>
      <c r="E3" s="22">
        <v>637598</v>
      </c>
      <c r="F3" s="22">
        <v>430454</v>
      </c>
      <c r="G3" s="23">
        <v>207144</v>
      </c>
      <c r="H3" s="26">
        <f t="shared" si="0"/>
        <v>40575</v>
      </c>
      <c r="I3" s="27">
        <f xml:space="preserve"> vw_monthly_kpis[[#This Row],[Profit]] / vw_monthly_kpis[[#This Row],[Revenue]]</f>
        <v>0.32488182208852601</v>
      </c>
    </row>
    <row r="4" spans="1:9" ht="16" x14ac:dyDescent="0.45">
      <c r="A4" s="20">
        <v>2011</v>
      </c>
      <c r="B4" s="21" t="s">
        <v>6</v>
      </c>
      <c r="C4" s="22">
        <v>199</v>
      </c>
      <c r="D4" s="22">
        <v>397</v>
      </c>
      <c r="E4" s="22">
        <v>708517</v>
      </c>
      <c r="F4" s="22">
        <v>482113</v>
      </c>
      <c r="G4" s="23">
        <v>226404</v>
      </c>
      <c r="H4" s="26">
        <f t="shared" si="0"/>
        <v>40603</v>
      </c>
      <c r="I4" s="27">
        <f xml:space="preserve"> vw_monthly_kpis[[#This Row],[Profit]] / vw_monthly_kpis[[#This Row],[Revenue]]</f>
        <v>0.31954631998949917</v>
      </c>
    </row>
    <row r="5" spans="1:9" ht="16" x14ac:dyDescent="0.45">
      <c r="A5" s="20">
        <v>2011</v>
      </c>
      <c r="B5" s="21" t="s">
        <v>11</v>
      </c>
      <c r="C5" s="22">
        <v>207</v>
      </c>
      <c r="D5" s="22">
        <v>403</v>
      </c>
      <c r="E5" s="22">
        <v>698782</v>
      </c>
      <c r="F5" s="22">
        <v>475181</v>
      </c>
      <c r="G5" s="23">
        <v>223601</v>
      </c>
      <c r="H5" s="26">
        <f t="shared" si="0"/>
        <v>40634</v>
      </c>
      <c r="I5" s="27">
        <f xml:space="preserve"> vw_monthly_kpis[[#This Row],[Profit]] / vw_monthly_kpis[[#This Row],[Revenue]]</f>
        <v>0.31998677699196604</v>
      </c>
    </row>
    <row r="6" spans="1:9" ht="16" x14ac:dyDescent="0.45">
      <c r="A6" s="20">
        <v>2011</v>
      </c>
      <c r="B6" s="21" t="s">
        <v>10</v>
      </c>
      <c r="C6" s="22">
        <v>214</v>
      </c>
      <c r="D6" s="22">
        <v>418</v>
      </c>
      <c r="E6" s="22">
        <v>734537</v>
      </c>
      <c r="F6" s="22">
        <v>499848</v>
      </c>
      <c r="G6" s="23">
        <v>234689</v>
      </c>
      <c r="H6" s="26">
        <f t="shared" si="0"/>
        <v>40664</v>
      </c>
      <c r="I6" s="27">
        <f xml:space="preserve"> vw_monthly_kpis[[#This Row],[Profit]] / vw_monthly_kpis[[#This Row],[Revenue]]</f>
        <v>0.3195060289679077</v>
      </c>
    </row>
    <row r="7" spans="1:9" ht="16" x14ac:dyDescent="0.45">
      <c r="A7" s="20">
        <v>2011</v>
      </c>
      <c r="B7" s="21" t="s">
        <v>9</v>
      </c>
      <c r="C7" s="22">
        <v>214</v>
      </c>
      <c r="D7" s="22">
        <v>417</v>
      </c>
      <c r="E7" s="22">
        <v>658138</v>
      </c>
      <c r="F7" s="22">
        <v>443109</v>
      </c>
      <c r="G7" s="23">
        <v>215029</v>
      </c>
      <c r="H7" s="26">
        <f t="shared" si="0"/>
        <v>40695</v>
      </c>
      <c r="I7" s="27">
        <f xml:space="preserve"> vw_monthly_kpis[[#This Row],[Profit]] / vw_monthly_kpis[[#This Row],[Revenue]]</f>
        <v>0.32672327080338776</v>
      </c>
    </row>
    <row r="8" spans="1:9" ht="16" x14ac:dyDescent="0.45">
      <c r="A8" s="20">
        <v>2011</v>
      </c>
      <c r="B8" s="21" t="s">
        <v>8</v>
      </c>
      <c r="C8" s="22">
        <v>253</v>
      </c>
      <c r="D8" s="22">
        <v>505</v>
      </c>
      <c r="E8" s="22">
        <v>882219</v>
      </c>
      <c r="F8" s="22">
        <v>593691</v>
      </c>
      <c r="G8" s="23">
        <v>288528</v>
      </c>
      <c r="H8" s="26">
        <f t="shared" si="0"/>
        <v>40725</v>
      </c>
      <c r="I8" s="27">
        <f xml:space="preserve"> vw_monthly_kpis[[#This Row],[Profit]] / vw_monthly_kpis[[#This Row],[Revenue]]</f>
        <v>0.32704804589336661</v>
      </c>
    </row>
    <row r="9" spans="1:9" ht="16" x14ac:dyDescent="0.45">
      <c r="A9" s="20">
        <v>2011</v>
      </c>
      <c r="B9" s="21" t="s">
        <v>14</v>
      </c>
      <c r="C9" s="22">
        <v>281</v>
      </c>
      <c r="D9" s="22">
        <v>540</v>
      </c>
      <c r="E9" s="22">
        <v>880037</v>
      </c>
      <c r="F9" s="22">
        <v>594206</v>
      </c>
      <c r="G9" s="23">
        <v>285831</v>
      </c>
      <c r="H9" s="26">
        <f t="shared" si="0"/>
        <v>40756</v>
      </c>
      <c r="I9" s="27">
        <f xml:space="preserve"> vw_monthly_kpis[[#This Row],[Profit]] / vw_monthly_kpis[[#This Row],[Revenue]]</f>
        <v>0.32479429842154361</v>
      </c>
    </row>
    <row r="10" spans="1:9" ht="16" x14ac:dyDescent="0.45">
      <c r="A10" s="20">
        <v>2011</v>
      </c>
      <c r="B10" s="21" t="s">
        <v>15</v>
      </c>
      <c r="C10" s="22">
        <v>198</v>
      </c>
      <c r="D10" s="22">
        <v>388</v>
      </c>
      <c r="E10" s="22">
        <v>685754</v>
      </c>
      <c r="F10" s="22">
        <v>472198</v>
      </c>
      <c r="G10" s="23">
        <v>213556</v>
      </c>
      <c r="H10" s="26">
        <f t="shared" si="0"/>
        <v>40787</v>
      </c>
      <c r="I10" s="27">
        <f xml:space="preserve"> vw_monthly_kpis[[#This Row],[Profit]] / vw_monthly_kpis[[#This Row],[Revenue]]</f>
        <v>0.31141779705258738</v>
      </c>
    </row>
    <row r="11" spans="1:9" ht="16" x14ac:dyDescent="0.45">
      <c r="A11" s="20">
        <v>2011</v>
      </c>
      <c r="B11" s="21" t="s">
        <v>7</v>
      </c>
      <c r="C11" s="22">
        <v>229</v>
      </c>
      <c r="D11" s="22">
        <v>452</v>
      </c>
      <c r="E11" s="22">
        <v>696949</v>
      </c>
      <c r="F11" s="22">
        <v>474442</v>
      </c>
      <c r="G11" s="23">
        <v>222507</v>
      </c>
      <c r="H11" s="26">
        <f t="shared" si="0"/>
        <v>40817</v>
      </c>
      <c r="I11" s="27">
        <f xml:space="preserve"> vw_monthly_kpis[[#This Row],[Profit]] / vw_monthly_kpis[[#This Row],[Revenue]]</f>
        <v>0.31925865450700125</v>
      </c>
    </row>
    <row r="12" spans="1:9" ht="16" x14ac:dyDescent="0.45">
      <c r="A12" s="20">
        <v>2011</v>
      </c>
      <c r="B12" s="21" t="s">
        <v>12</v>
      </c>
      <c r="C12" s="22">
        <v>193</v>
      </c>
      <c r="D12" s="22">
        <v>367</v>
      </c>
      <c r="E12" s="22">
        <v>574498</v>
      </c>
      <c r="F12" s="22">
        <v>392527</v>
      </c>
      <c r="G12" s="23">
        <v>181971</v>
      </c>
      <c r="H12" s="26">
        <f t="shared" si="0"/>
        <v>40848</v>
      </c>
      <c r="I12" s="27">
        <f xml:space="preserve"> vw_monthly_kpis[[#This Row],[Profit]] / vw_monthly_kpis[[#This Row],[Revenue]]</f>
        <v>0.31674783898290332</v>
      </c>
    </row>
    <row r="13" spans="1:9" ht="16" x14ac:dyDescent="0.45">
      <c r="A13" s="20">
        <v>2011</v>
      </c>
      <c r="B13" s="21" t="s">
        <v>13</v>
      </c>
      <c r="C13" s="22">
        <v>330</v>
      </c>
      <c r="D13" s="22">
        <v>664</v>
      </c>
      <c r="E13" s="22">
        <v>1132666</v>
      </c>
      <c r="F13" s="22">
        <v>763474</v>
      </c>
      <c r="G13" s="23">
        <v>369192</v>
      </c>
      <c r="H13" s="26">
        <f t="shared" si="0"/>
        <v>40878</v>
      </c>
      <c r="I13" s="27">
        <f xml:space="preserve"> vw_monthly_kpis[[#This Row],[Profit]] / vw_monthly_kpis[[#This Row],[Revenue]]</f>
        <v>0.32594957383730067</v>
      </c>
    </row>
    <row r="14" spans="1:9" ht="16" x14ac:dyDescent="0.45">
      <c r="A14" s="20">
        <v>2012</v>
      </c>
      <c r="B14" s="21" t="s">
        <v>17</v>
      </c>
      <c r="C14" s="22">
        <v>188</v>
      </c>
      <c r="D14" s="22">
        <v>376</v>
      </c>
      <c r="E14" s="22">
        <v>671695</v>
      </c>
      <c r="F14" s="22">
        <v>460414</v>
      </c>
      <c r="G14" s="23">
        <v>211281</v>
      </c>
      <c r="H14" s="26">
        <f t="shared" si="0"/>
        <v>40909</v>
      </c>
      <c r="I14" s="27">
        <f xml:space="preserve"> vw_monthly_kpis[[#This Row],[Profit]] / vw_monthly_kpis[[#This Row],[Revenue]]</f>
        <v>0.31454901406144159</v>
      </c>
    </row>
    <row r="15" spans="1:9" ht="16" x14ac:dyDescent="0.45">
      <c r="A15" s="20">
        <v>2012</v>
      </c>
      <c r="B15" s="21" t="s">
        <v>16</v>
      </c>
      <c r="C15" s="22">
        <v>171</v>
      </c>
      <c r="D15" s="22">
        <v>342</v>
      </c>
      <c r="E15" s="22">
        <v>642657</v>
      </c>
      <c r="F15" s="22">
        <v>433544</v>
      </c>
      <c r="G15" s="23">
        <v>209113</v>
      </c>
      <c r="H15" s="26">
        <f t="shared" si="0"/>
        <v>40940</v>
      </c>
      <c r="I15" s="27">
        <f xml:space="preserve"> vw_monthly_kpis[[#This Row],[Profit]] / vw_monthly_kpis[[#This Row],[Revenue]]</f>
        <v>0.32538819307966771</v>
      </c>
    </row>
    <row r="16" spans="1:9" ht="16" x14ac:dyDescent="0.45">
      <c r="A16" s="20">
        <v>2012</v>
      </c>
      <c r="B16" s="21" t="s">
        <v>6</v>
      </c>
      <c r="C16" s="22">
        <v>199</v>
      </c>
      <c r="D16" s="22">
        <v>398</v>
      </c>
      <c r="E16" s="22">
        <v>740824</v>
      </c>
      <c r="F16" s="22">
        <v>505740</v>
      </c>
      <c r="G16" s="23">
        <v>235084</v>
      </c>
      <c r="H16" s="26">
        <f t="shared" si="0"/>
        <v>40969</v>
      </c>
      <c r="I16" s="27">
        <f xml:space="preserve"> vw_monthly_kpis[[#This Row],[Profit]] / vw_monthly_kpis[[#This Row],[Revenue]]</f>
        <v>0.31732773236288242</v>
      </c>
    </row>
    <row r="17" spans="1:9" ht="16" x14ac:dyDescent="0.45">
      <c r="A17" s="20">
        <v>2012</v>
      </c>
      <c r="B17" s="21" t="s">
        <v>11</v>
      </c>
      <c r="C17" s="22">
        <v>207</v>
      </c>
      <c r="D17" s="22">
        <v>414</v>
      </c>
      <c r="E17" s="22">
        <v>731005</v>
      </c>
      <c r="F17" s="22">
        <v>494242</v>
      </c>
      <c r="G17" s="23">
        <v>236763</v>
      </c>
      <c r="H17" s="26">
        <f t="shared" si="0"/>
        <v>41000</v>
      </c>
      <c r="I17" s="27">
        <f xml:space="preserve"> vw_monthly_kpis[[#This Row],[Profit]] / vw_monthly_kpis[[#This Row],[Revenue]]</f>
        <v>0.32388697751725365</v>
      </c>
    </row>
    <row r="18" spans="1:9" ht="16" x14ac:dyDescent="0.45">
      <c r="A18" s="20">
        <v>2012</v>
      </c>
      <c r="B18" s="21" t="s">
        <v>10</v>
      </c>
      <c r="C18" s="22">
        <v>214</v>
      </c>
      <c r="D18" s="22">
        <v>428</v>
      </c>
      <c r="E18" s="22">
        <v>765660</v>
      </c>
      <c r="F18" s="22">
        <v>520404</v>
      </c>
      <c r="G18" s="23">
        <v>245256</v>
      </c>
      <c r="H18" s="26">
        <f t="shared" si="0"/>
        <v>41030</v>
      </c>
      <c r="I18" s="27">
        <f xml:space="preserve"> vw_monthly_kpis[[#This Row],[Profit]] / vw_monthly_kpis[[#This Row],[Revenue]]</f>
        <v>0.32031972415954862</v>
      </c>
    </row>
    <row r="19" spans="1:9" ht="16" x14ac:dyDescent="0.45">
      <c r="A19" s="20">
        <v>2012</v>
      </c>
      <c r="B19" s="21" t="s">
        <v>9</v>
      </c>
      <c r="C19" s="22">
        <v>214</v>
      </c>
      <c r="D19" s="22">
        <v>428</v>
      </c>
      <c r="E19" s="22">
        <v>691871</v>
      </c>
      <c r="F19" s="22">
        <v>465836</v>
      </c>
      <c r="G19" s="23">
        <v>226035</v>
      </c>
      <c r="H19" s="26">
        <f t="shared" si="0"/>
        <v>41061</v>
      </c>
      <c r="I19" s="27">
        <f xml:space="preserve"> vw_monthly_kpis[[#This Row],[Profit]] / vw_monthly_kpis[[#This Row],[Revenue]]</f>
        <v>0.32670107577857721</v>
      </c>
    </row>
    <row r="20" spans="1:9" ht="16" x14ac:dyDescent="0.45">
      <c r="A20" s="20">
        <v>2012</v>
      </c>
      <c r="B20" s="21" t="s">
        <v>8</v>
      </c>
      <c r="C20" s="22">
        <v>253</v>
      </c>
      <c r="D20" s="22">
        <v>506</v>
      </c>
      <c r="E20" s="22">
        <v>863284</v>
      </c>
      <c r="F20" s="22">
        <v>585090</v>
      </c>
      <c r="G20" s="23">
        <v>278194</v>
      </c>
      <c r="H20" s="26">
        <f t="shared" si="0"/>
        <v>41091</v>
      </c>
      <c r="I20" s="27">
        <f xml:space="preserve"> vw_monthly_kpis[[#This Row],[Profit]] / vw_monthly_kpis[[#This Row],[Revenue]]</f>
        <v>0.32225084676653337</v>
      </c>
    </row>
    <row r="21" spans="1:9" ht="16" x14ac:dyDescent="0.45">
      <c r="A21" s="20">
        <v>2012</v>
      </c>
      <c r="B21" s="21" t="s">
        <v>14</v>
      </c>
      <c r="C21" s="22">
        <v>281</v>
      </c>
      <c r="D21" s="22">
        <v>562</v>
      </c>
      <c r="E21" s="22">
        <v>927504</v>
      </c>
      <c r="F21" s="22">
        <v>626896</v>
      </c>
      <c r="G21" s="23">
        <v>300608</v>
      </c>
      <c r="H21" s="26">
        <f t="shared" si="0"/>
        <v>41122</v>
      </c>
      <c r="I21" s="27">
        <f xml:space="preserve"> vw_monthly_kpis[[#This Row],[Profit]] / vw_monthly_kpis[[#This Row],[Revenue]]</f>
        <v>0.32410426262312614</v>
      </c>
    </row>
    <row r="22" spans="1:9" ht="16" x14ac:dyDescent="0.45">
      <c r="A22" s="20">
        <v>2012</v>
      </c>
      <c r="B22" s="21" t="s">
        <v>15</v>
      </c>
      <c r="C22" s="22">
        <v>198</v>
      </c>
      <c r="D22" s="22">
        <v>396</v>
      </c>
      <c r="E22" s="22">
        <v>701963</v>
      </c>
      <c r="F22" s="22">
        <v>481218</v>
      </c>
      <c r="G22" s="23">
        <v>220745</v>
      </c>
      <c r="H22" s="26">
        <f t="shared" si="0"/>
        <v>41153</v>
      </c>
      <c r="I22" s="27">
        <f xml:space="preserve"> vw_monthly_kpis[[#This Row],[Profit]] / vw_monthly_kpis[[#This Row],[Revenue]]</f>
        <v>0.31446814148324059</v>
      </c>
    </row>
    <row r="23" spans="1:9" ht="16" x14ac:dyDescent="0.45">
      <c r="A23" s="20">
        <v>2012</v>
      </c>
      <c r="B23" s="21" t="s">
        <v>7</v>
      </c>
      <c r="C23" s="22">
        <v>229</v>
      </c>
      <c r="D23" s="22">
        <v>458</v>
      </c>
      <c r="E23" s="22">
        <v>727918</v>
      </c>
      <c r="F23" s="22">
        <v>491730</v>
      </c>
      <c r="G23" s="23">
        <v>236188</v>
      </c>
      <c r="H23" s="26">
        <f t="shared" si="0"/>
        <v>41183</v>
      </c>
      <c r="I23" s="27">
        <f xml:space="preserve"> vw_monthly_kpis[[#This Row],[Profit]] / vw_monthly_kpis[[#This Row],[Revenue]]</f>
        <v>0.32447061344821809</v>
      </c>
    </row>
    <row r="24" spans="1:9" ht="16" x14ac:dyDescent="0.45">
      <c r="A24" s="20">
        <v>2012</v>
      </c>
      <c r="B24" s="21" t="s">
        <v>12</v>
      </c>
      <c r="C24" s="22">
        <v>193</v>
      </c>
      <c r="D24" s="22">
        <v>386</v>
      </c>
      <c r="E24" s="22">
        <v>601501</v>
      </c>
      <c r="F24" s="22">
        <v>409730</v>
      </c>
      <c r="G24" s="23">
        <v>191771</v>
      </c>
      <c r="H24" s="26">
        <f t="shared" si="0"/>
        <v>41214</v>
      </c>
      <c r="I24" s="27">
        <f xml:space="preserve"> vw_monthly_kpis[[#This Row],[Profit]] / vw_monthly_kpis[[#This Row],[Revenue]]</f>
        <v>0.31882075009019106</v>
      </c>
    </row>
    <row r="25" spans="1:9" ht="16" x14ac:dyDescent="0.45">
      <c r="A25" s="20">
        <v>2012</v>
      </c>
      <c r="B25" s="21" t="s">
        <v>13</v>
      </c>
      <c r="C25" s="22">
        <v>330</v>
      </c>
      <c r="D25" s="22">
        <v>660</v>
      </c>
      <c r="E25" s="22">
        <v>1110101</v>
      </c>
      <c r="F25" s="22">
        <v>749146</v>
      </c>
      <c r="G25" s="23">
        <v>360955</v>
      </c>
      <c r="H25" s="26">
        <f t="shared" si="0"/>
        <v>41244</v>
      </c>
      <c r="I25" s="27">
        <f xml:space="preserve"> vw_monthly_kpis[[#This Row],[Profit]] / vw_monthly_kpis[[#This Row],[Revenue]]</f>
        <v>0.32515509850004637</v>
      </c>
    </row>
    <row r="26" spans="1:9" ht="16" x14ac:dyDescent="0.45">
      <c r="A26" s="20">
        <v>2013</v>
      </c>
      <c r="B26" s="21" t="s">
        <v>17</v>
      </c>
      <c r="C26" s="22">
        <v>244</v>
      </c>
      <c r="D26" s="22">
        <v>244</v>
      </c>
      <c r="E26" s="22">
        <v>435063</v>
      </c>
      <c r="F26" s="22">
        <v>291785</v>
      </c>
      <c r="G26" s="23">
        <v>143278</v>
      </c>
      <c r="H26" s="26">
        <f t="shared" si="0"/>
        <v>41275</v>
      </c>
      <c r="I26" s="27">
        <f xml:space="preserve"> vw_monthly_kpis[[#This Row],[Profit]] / vw_monthly_kpis[[#This Row],[Revenue]]</f>
        <v>0.32932701700673234</v>
      </c>
    </row>
    <row r="27" spans="1:9" ht="16" x14ac:dyDescent="0.45">
      <c r="A27" s="20">
        <v>2013</v>
      </c>
      <c r="B27" s="21" t="s">
        <v>16</v>
      </c>
      <c r="C27" s="22">
        <v>272</v>
      </c>
      <c r="D27" s="22">
        <v>272</v>
      </c>
      <c r="E27" s="22">
        <v>485405</v>
      </c>
      <c r="F27" s="22">
        <v>325466</v>
      </c>
      <c r="G27" s="23">
        <v>159939</v>
      </c>
      <c r="H27" s="26">
        <f t="shared" si="0"/>
        <v>41306</v>
      </c>
      <c r="I27" s="27">
        <f xml:space="preserve"> vw_monthly_kpis[[#This Row],[Profit]] / vw_monthly_kpis[[#This Row],[Revenue]]</f>
        <v>0.32949598788640416</v>
      </c>
    </row>
    <row r="28" spans="1:9" ht="16" x14ac:dyDescent="0.45">
      <c r="A28" s="20">
        <v>2013</v>
      </c>
      <c r="B28" s="21" t="s">
        <v>6</v>
      </c>
      <c r="C28" s="22">
        <v>272</v>
      </c>
      <c r="D28" s="22">
        <v>272</v>
      </c>
      <c r="E28" s="22">
        <v>466940</v>
      </c>
      <c r="F28" s="22">
        <v>312233</v>
      </c>
      <c r="G28" s="23">
        <v>154707</v>
      </c>
      <c r="H28" s="26">
        <f t="shared" si="0"/>
        <v>41334</v>
      </c>
      <c r="I28" s="27">
        <f xml:space="preserve"> vw_monthly_kpis[[#This Row],[Profit]] / vw_monthly_kpis[[#This Row],[Revenue]]</f>
        <v>0.33132094059193901</v>
      </c>
    </row>
    <row r="29" spans="1:9" ht="16" x14ac:dyDescent="0.45">
      <c r="A29" s="20">
        <v>2013</v>
      </c>
      <c r="B29" s="21" t="s">
        <v>11</v>
      </c>
      <c r="C29" s="22">
        <v>294</v>
      </c>
      <c r="D29" s="22">
        <v>294</v>
      </c>
      <c r="E29" s="22">
        <v>476905</v>
      </c>
      <c r="F29" s="22">
        <v>323102</v>
      </c>
      <c r="G29" s="23">
        <v>153803</v>
      </c>
      <c r="H29" s="26">
        <f t="shared" si="0"/>
        <v>41365</v>
      </c>
      <c r="I29" s="27">
        <f xml:space="preserve"> vw_monthly_kpis[[#This Row],[Profit]] / vw_monthly_kpis[[#This Row],[Revenue]]</f>
        <v>0.32250238517105084</v>
      </c>
    </row>
    <row r="30" spans="1:9" ht="16" x14ac:dyDescent="0.45">
      <c r="A30" s="20">
        <v>2013</v>
      </c>
      <c r="B30" s="21" t="s">
        <v>10</v>
      </c>
      <c r="C30" s="22">
        <v>335</v>
      </c>
      <c r="D30" s="22">
        <v>335</v>
      </c>
      <c r="E30" s="22">
        <v>589689</v>
      </c>
      <c r="F30" s="22">
        <v>393330</v>
      </c>
      <c r="G30" s="23">
        <v>196359</v>
      </c>
      <c r="H30" s="26">
        <f t="shared" si="0"/>
        <v>41395</v>
      </c>
      <c r="I30" s="27">
        <f xml:space="preserve"> vw_monthly_kpis[[#This Row],[Profit]] / vw_monthly_kpis[[#This Row],[Revenue]]</f>
        <v>0.33298738826737484</v>
      </c>
    </row>
    <row r="31" spans="1:9" ht="16" x14ac:dyDescent="0.45">
      <c r="A31" s="20">
        <v>2013</v>
      </c>
      <c r="B31" s="21" t="s">
        <v>9</v>
      </c>
      <c r="C31" s="22">
        <v>321</v>
      </c>
      <c r="D31" s="22">
        <v>321</v>
      </c>
      <c r="E31" s="22">
        <v>534099</v>
      </c>
      <c r="F31" s="22">
        <v>359020</v>
      </c>
      <c r="G31" s="23">
        <v>175079</v>
      </c>
      <c r="H31" s="26">
        <f t="shared" si="0"/>
        <v>41426</v>
      </c>
      <c r="I31" s="27">
        <f xml:space="preserve"> vw_monthly_kpis[[#This Row],[Profit]] / vw_monthly_kpis[[#This Row],[Revenue]]</f>
        <v>0.32780252350219719</v>
      </c>
    </row>
    <row r="32" spans="1:9" ht="16" x14ac:dyDescent="0.45">
      <c r="A32" s="20">
        <v>2013</v>
      </c>
      <c r="B32" s="21" t="s">
        <v>8</v>
      </c>
      <c r="C32" s="22">
        <v>1411</v>
      </c>
      <c r="D32" s="22">
        <v>14177</v>
      </c>
      <c r="E32" s="22">
        <v>1230711</v>
      </c>
      <c r="F32" s="22">
        <v>785772</v>
      </c>
      <c r="G32" s="23">
        <v>444939</v>
      </c>
      <c r="H32" s="26">
        <f t="shared" si="0"/>
        <v>41456</v>
      </c>
      <c r="I32" s="27">
        <f xml:space="preserve"> vw_monthly_kpis[[#This Row],[Profit]] / vw_monthly_kpis[[#This Row],[Revenue]]</f>
        <v>0.36153004239013059</v>
      </c>
    </row>
    <row r="33" spans="1:9" ht="16" x14ac:dyDescent="0.45">
      <c r="A33" s="20">
        <v>2013</v>
      </c>
      <c r="B33" s="21" t="s">
        <v>14</v>
      </c>
      <c r="C33" s="22">
        <v>3819</v>
      </c>
      <c r="D33" s="22">
        <v>51614</v>
      </c>
      <c r="E33" s="22">
        <v>1763071</v>
      </c>
      <c r="F33" s="22">
        <v>1011841</v>
      </c>
      <c r="G33" s="23">
        <v>751230</v>
      </c>
      <c r="H33" s="26">
        <f t="shared" si="0"/>
        <v>41487</v>
      </c>
      <c r="I33" s="27">
        <f xml:space="preserve"> vw_monthly_kpis[[#This Row],[Profit]] / vw_monthly_kpis[[#This Row],[Revenue]]</f>
        <v>0.42609174559617846</v>
      </c>
    </row>
    <row r="34" spans="1:9" ht="16" x14ac:dyDescent="0.45">
      <c r="A34" s="20">
        <v>2013</v>
      </c>
      <c r="B34" s="21" t="s">
        <v>15</v>
      </c>
      <c r="C34" s="22">
        <v>3885</v>
      </c>
      <c r="D34" s="22">
        <v>51755</v>
      </c>
      <c r="E34" s="22">
        <v>1988996</v>
      </c>
      <c r="F34" s="22">
        <v>1160027</v>
      </c>
      <c r="G34" s="23">
        <v>828969</v>
      </c>
      <c r="H34" s="26">
        <f t="shared" ref="H34:H63" si="1">DATE(A34, MONTH(DATEVALUE(B34&amp;" 1")), 1)</f>
        <v>41518</v>
      </c>
      <c r="I34" s="27">
        <f xml:space="preserve"> vw_monthly_kpis[[#This Row],[Profit]] / vw_monthly_kpis[[#This Row],[Revenue]]</f>
        <v>0.41677761041248951</v>
      </c>
    </row>
    <row r="35" spans="1:9" ht="16" x14ac:dyDescent="0.45">
      <c r="A35" s="20">
        <v>2013</v>
      </c>
      <c r="B35" s="21" t="s">
        <v>7</v>
      </c>
      <c r="C35" s="22">
        <v>4146</v>
      </c>
      <c r="D35" s="22">
        <v>54358</v>
      </c>
      <c r="E35" s="22">
        <v>2041128</v>
      </c>
      <c r="F35" s="22">
        <v>1199130</v>
      </c>
      <c r="G35" s="23">
        <v>841998</v>
      </c>
      <c r="H35" s="26">
        <f t="shared" si="1"/>
        <v>41548</v>
      </c>
      <c r="I35" s="27">
        <f xml:space="preserve"> vw_monthly_kpis[[#This Row],[Profit]] / vw_monthly_kpis[[#This Row],[Revenue]]</f>
        <v>0.41251602055334108</v>
      </c>
    </row>
    <row r="36" spans="1:9" ht="16" x14ac:dyDescent="0.45">
      <c r="A36" s="20">
        <v>2013</v>
      </c>
      <c r="B36" s="21" t="s">
        <v>12</v>
      </c>
      <c r="C36" s="22">
        <v>4174</v>
      </c>
      <c r="D36" s="22">
        <v>54482</v>
      </c>
      <c r="E36" s="22">
        <v>2232077</v>
      </c>
      <c r="F36" s="22">
        <v>1323193</v>
      </c>
      <c r="G36" s="23">
        <v>908884</v>
      </c>
      <c r="H36" s="26">
        <f t="shared" si="1"/>
        <v>41579</v>
      </c>
      <c r="I36" s="27">
        <f xml:space="preserve"> vw_monthly_kpis[[#This Row],[Profit]] / vw_monthly_kpis[[#This Row],[Revenue]]</f>
        <v>0.40719204579411911</v>
      </c>
    </row>
    <row r="37" spans="1:9" ht="16" x14ac:dyDescent="0.45">
      <c r="A37" s="20">
        <v>2013</v>
      </c>
      <c r="B37" s="21" t="s">
        <v>13</v>
      </c>
      <c r="C37" s="22">
        <v>5270</v>
      </c>
      <c r="D37" s="22">
        <v>66663</v>
      </c>
      <c r="E37" s="22">
        <v>2995953</v>
      </c>
      <c r="F37" s="22">
        <v>1795930</v>
      </c>
      <c r="G37" s="23">
        <v>1200023</v>
      </c>
      <c r="H37" s="26">
        <f t="shared" si="1"/>
        <v>41609</v>
      </c>
      <c r="I37" s="27">
        <f xml:space="preserve"> vw_monthly_kpis[[#This Row],[Profit]] / vw_monthly_kpis[[#This Row],[Revenue]]</f>
        <v>0.40054800592666173</v>
      </c>
    </row>
    <row r="38" spans="1:9" ht="16" x14ac:dyDescent="0.45">
      <c r="A38" s="20">
        <v>2014</v>
      </c>
      <c r="B38" s="21" t="s">
        <v>17</v>
      </c>
      <c r="C38" s="22">
        <v>4210</v>
      </c>
      <c r="D38" s="22">
        <v>55079</v>
      </c>
      <c r="E38" s="22">
        <v>2003941</v>
      </c>
      <c r="F38" s="22">
        <v>1179095</v>
      </c>
      <c r="G38" s="23">
        <v>824846</v>
      </c>
      <c r="H38" s="26">
        <f t="shared" si="1"/>
        <v>41640</v>
      </c>
      <c r="I38" s="27">
        <f xml:space="preserve"> vw_monthly_kpis[[#This Row],[Profit]] / vw_monthly_kpis[[#This Row],[Revenue]]</f>
        <v>0.41161191871417374</v>
      </c>
    </row>
    <row r="39" spans="1:9" ht="16" x14ac:dyDescent="0.45">
      <c r="A39" s="20">
        <v>2014</v>
      </c>
      <c r="B39" s="21" t="s">
        <v>16</v>
      </c>
      <c r="C39" s="22">
        <v>4068</v>
      </c>
      <c r="D39" s="22">
        <v>52294</v>
      </c>
      <c r="E39" s="22">
        <v>1945487</v>
      </c>
      <c r="F39" s="22">
        <v>1144566</v>
      </c>
      <c r="G39" s="23">
        <v>800921</v>
      </c>
      <c r="H39" s="26">
        <f t="shared" si="1"/>
        <v>41671</v>
      </c>
      <c r="I39" s="27">
        <f xml:space="preserve"> vw_monthly_kpis[[#This Row],[Profit]] / vw_monthly_kpis[[#This Row],[Revenue]]</f>
        <v>0.41168149671521836</v>
      </c>
    </row>
    <row r="40" spans="1:9" ht="16" x14ac:dyDescent="0.45">
      <c r="A40" s="20">
        <v>2014</v>
      </c>
      <c r="B40" s="21" t="s">
        <v>6</v>
      </c>
      <c r="C40" s="22">
        <v>4366</v>
      </c>
      <c r="D40" s="22">
        <v>55412</v>
      </c>
      <c r="E40" s="22">
        <v>2108212</v>
      </c>
      <c r="F40" s="22">
        <v>1235159</v>
      </c>
      <c r="G40" s="23">
        <v>873053</v>
      </c>
      <c r="H40" s="26">
        <f t="shared" si="1"/>
        <v>41699</v>
      </c>
      <c r="I40" s="27">
        <f xml:space="preserve"> vw_monthly_kpis[[#This Row],[Profit]] / vw_monthly_kpis[[#This Row],[Revenue]]</f>
        <v>0.41412011695218509</v>
      </c>
    </row>
    <row r="41" spans="1:9" ht="16" x14ac:dyDescent="0.45">
      <c r="A41" s="20">
        <v>2014</v>
      </c>
      <c r="B41" s="21" t="s">
        <v>11</v>
      </c>
      <c r="C41" s="22">
        <v>4590</v>
      </c>
      <c r="D41" s="22">
        <v>59110</v>
      </c>
      <c r="E41" s="22">
        <v>2204586</v>
      </c>
      <c r="F41" s="22">
        <v>1288915</v>
      </c>
      <c r="G41" s="23">
        <v>915671</v>
      </c>
      <c r="H41" s="26">
        <f t="shared" si="1"/>
        <v>41730</v>
      </c>
      <c r="I41" s="27">
        <f xml:space="preserve"> vw_monthly_kpis[[#This Row],[Profit]] / vw_monthly_kpis[[#This Row],[Revenue]]</f>
        <v>0.41534827854300083</v>
      </c>
    </row>
    <row r="42" spans="1:9" ht="16" x14ac:dyDescent="0.45">
      <c r="A42" s="20">
        <v>2014</v>
      </c>
      <c r="B42" s="21" t="s">
        <v>10</v>
      </c>
      <c r="C42" s="22">
        <v>5015</v>
      </c>
      <c r="D42" s="22">
        <v>62661</v>
      </c>
      <c r="E42" s="22">
        <v>2587491</v>
      </c>
      <c r="F42" s="22">
        <v>1521317</v>
      </c>
      <c r="G42" s="23">
        <v>1066174</v>
      </c>
      <c r="H42" s="26">
        <f t="shared" si="1"/>
        <v>41760</v>
      </c>
      <c r="I42" s="27">
        <f xml:space="preserve"> vw_monthly_kpis[[#This Row],[Profit]] / vw_monthly_kpis[[#This Row],[Revenue]]</f>
        <v>0.41204935592046504</v>
      </c>
    </row>
    <row r="43" spans="1:9" ht="16" x14ac:dyDescent="0.45">
      <c r="A43" s="20">
        <v>2014</v>
      </c>
      <c r="B43" s="21" t="s">
        <v>9</v>
      </c>
      <c r="C43" s="22">
        <v>5082</v>
      </c>
      <c r="D43" s="22">
        <v>64254</v>
      </c>
      <c r="E43" s="22">
        <v>2786120</v>
      </c>
      <c r="F43" s="22">
        <v>1666196</v>
      </c>
      <c r="G43" s="23">
        <v>1119924</v>
      </c>
      <c r="H43" s="26">
        <f t="shared" si="1"/>
        <v>41791</v>
      </c>
      <c r="I43" s="27">
        <f xml:space="preserve"> vw_monthly_kpis[[#This Row],[Profit]] / vw_monthly_kpis[[#This Row],[Revenue]]</f>
        <v>0.40196545733852096</v>
      </c>
    </row>
    <row r="44" spans="1:9" ht="16" x14ac:dyDescent="0.45">
      <c r="A44" s="20">
        <v>2014</v>
      </c>
      <c r="B44" s="21" t="s">
        <v>8</v>
      </c>
      <c r="C44" s="22">
        <v>2067</v>
      </c>
      <c r="D44" s="22">
        <v>30775</v>
      </c>
      <c r="E44" s="22">
        <v>516887</v>
      </c>
      <c r="F44" s="22">
        <v>253389</v>
      </c>
      <c r="G44" s="23">
        <v>263498</v>
      </c>
      <c r="H44" s="26">
        <f t="shared" si="1"/>
        <v>41821</v>
      </c>
      <c r="I44" s="27">
        <f xml:space="preserve"> vw_monthly_kpis[[#This Row],[Profit]] / vw_monthly_kpis[[#This Row],[Revenue]]</f>
        <v>0.50977873306931687</v>
      </c>
    </row>
    <row r="45" spans="1:9" ht="16" x14ac:dyDescent="0.45">
      <c r="A45" s="20">
        <v>2015</v>
      </c>
      <c r="B45" s="21" t="s">
        <v>17</v>
      </c>
      <c r="C45" s="22">
        <v>244</v>
      </c>
      <c r="D45" s="22">
        <v>373</v>
      </c>
      <c r="E45" s="22">
        <v>666938</v>
      </c>
      <c r="F45" s="22">
        <v>447744</v>
      </c>
      <c r="G45" s="23">
        <v>219194</v>
      </c>
      <c r="H45" s="26">
        <f t="shared" si="1"/>
        <v>42005</v>
      </c>
      <c r="I45" s="27">
        <f xml:space="preserve"> vw_monthly_kpis[[#This Row],[Profit]] / vw_monthly_kpis[[#This Row],[Revenue]]</f>
        <v>0.32865723650474254</v>
      </c>
    </row>
    <row r="46" spans="1:9" ht="16" x14ac:dyDescent="0.45">
      <c r="A46" s="20">
        <v>2015</v>
      </c>
      <c r="B46" s="21" t="s">
        <v>16</v>
      </c>
      <c r="C46" s="22">
        <v>272</v>
      </c>
      <c r="D46" s="22">
        <v>393</v>
      </c>
      <c r="E46" s="22">
        <v>679246</v>
      </c>
      <c r="F46" s="22">
        <v>458635</v>
      </c>
      <c r="G46" s="23">
        <v>220611</v>
      </c>
      <c r="H46" s="26">
        <f t="shared" si="1"/>
        <v>42036</v>
      </c>
      <c r="I46" s="27">
        <f xml:space="preserve"> vw_monthly_kpis[[#This Row],[Profit]] / vw_monthly_kpis[[#This Row],[Revenue]]</f>
        <v>0.32478807383481095</v>
      </c>
    </row>
    <row r="47" spans="1:9" ht="16" x14ac:dyDescent="0.45">
      <c r="A47" s="20">
        <v>2015</v>
      </c>
      <c r="B47" s="21" t="s">
        <v>6</v>
      </c>
      <c r="C47" s="22">
        <v>272</v>
      </c>
      <c r="D47" s="22">
        <v>415</v>
      </c>
      <c r="E47" s="22">
        <v>714008</v>
      </c>
      <c r="F47" s="22">
        <v>477922</v>
      </c>
      <c r="G47" s="23">
        <v>236086</v>
      </c>
      <c r="H47" s="26">
        <f t="shared" si="1"/>
        <v>42064</v>
      </c>
      <c r="I47" s="27">
        <f xml:space="preserve"> vw_monthly_kpis[[#This Row],[Profit]] / vw_monthly_kpis[[#This Row],[Revenue]]</f>
        <v>0.33064895631421498</v>
      </c>
    </row>
    <row r="48" spans="1:9" ht="16" x14ac:dyDescent="0.45">
      <c r="A48" s="20">
        <v>2015</v>
      </c>
      <c r="B48" s="21" t="s">
        <v>11</v>
      </c>
      <c r="C48" s="22">
        <v>294</v>
      </c>
      <c r="D48" s="22">
        <v>457</v>
      </c>
      <c r="E48" s="22">
        <v>734608</v>
      </c>
      <c r="F48" s="22">
        <v>497020</v>
      </c>
      <c r="G48" s="23">
        <v>237588</v>
      </c>
      <c r="H48" s="26">
        <f t="shared" si="1"/>
        <v>42095</v>
      </c>
      <c r="I48" s="27">
        <f xml:space="preserve"> vw_monthly_kpis[[#This Row],[Profit]] / vw_monthly_kpis[[#This Row],[Revenue]]</f>
        <v>0.32342147104305968</v>
      </c>
    </row>
    <row r="49" spans="1:9" ht="16" x14ac:dyDescent="0.45">
      <c r="A49" s="20">
        <v>2015</v>
      </c>
      <c r="B49" s="21" t="s">
        <v>10</v>
      </c>
      <c r="C49" s="22">
        <v>335</v>
      </c>
      <c r="D49" s="22">
        <v>503</v>
      </c>
      <c r="E49" s="22">
        <v>895043</v>
      </c>
      <c r="F49" s="22">
        <v>597749</v>
      </c>
      <c r="G49" s="23">
        <v>297294</v>
      </c>
      <c r="H49" s="26">
        <f t="shared" si="1"/>
        <v>42125</v>
      </c>
      <c r="I49" s="27">
        <f xml:space="preserve"> vw_monthly_kpis[[#This Row],[Profit]] / vw_monthly_kpis[[#This Row],[Revenue]]</f>
        <v>0.33215610870092277</v>
      </c>
    </row>
    <row r="50" spans="1:9" ht="16" x14ac:dyDescent="0.45">
      <c r="A50" s="20">
        <v>2015</v>
      </c>
      <c r="B50" s="21" t="s">
        <v>9</v>
      </c>
      <c r="C50" s="22">
        <v>321</v>
      </c>
      <c r="D50" s="22">
        <v>467</v>
      </c>
      <c r="E50" s="22">
        <v>786480</v>
      </c>
      <c r="F50" s="22">
        <v>527616</v>
      </c>
      <c r="G50" s="23">
        <v>258864</v>
      </c>
      <c r="H50" s="26">
        <f t="shared" si="1"/>
        <v>42156</v>
      </c>
      <c r="I50" s="27">
        <f xml:space="preserve"> vw_monthly_kpis[[#This Row],[Profit]] / vw_monthly_kpis[[#This Row],[Revenue]]</f>
        <v>0.3291425083918218</v>
      </c>
    </row>
    <row r="51" spans="1:9" ht="16" x14ac:dyDescent="0.45">
      <c r="A51" s="20">
        <v>2015</v>
      </c>
      <c r="B51" s="21" t="s">
        <v>8</v>
      </c>
      <c r="C51" s="22">
        <v>1411</v>
      </c>
      <c r="D51" s="22">
        <v>14067</v>
      </c>
      <c r="E51" s="22">
        <v>1728398</v>
      </c>
      <c r="F51" s="22">
        <v>1118446</v>
      </c>
      <c r="G51" s="23">
        <v>609952</v>
      </c>
      <c r="H51" s="26">
        <f t="shared" si="1"/>
        <v>42186</v>
      </c>
      <c r="I51" s="27">
        <f xml:space="preserve"> vw_monthly_kpis[[#This Row],[Profit]] / vw_monthly_kpis[[#This Row],[Revenue]]</f>
        <v>0.35290020006965989</v>
      </c>
    </row>
    <row r="52" spans="1:9" ht="16" x14ac:dyDescent="0.45">
      <c r="A52" s="20">
        <v>2015</v>
      </c>
      <c r="B52" s="21" t="s">
        <v>14</v>
      </c>
      <c r="C52" s="22">
        <v>3819</v>
      </c>
      <c r="D52" s="22">
        <v>50403</v>
      </c>
      <c r="E52" s="22">
        <v>2140581</v>
      </c>
      <c r="F52" s="22">
        <v>1264046</v>
      </c>
      <c r="G52" s="23">
        <v>876535</v>
      </c>
      <c r="H52" s="26">
        <f t="shared" si="1"/>
        <v>42217</v>
      </c>
      <c r="I52" s="27">
        <f xml:space="preserve"> vw_monthly_kpis[[#This Row],[Profit]] / vw_monthly_kpis[[#This Row],[Revenue]]</f>
        <v>0.40948462123133861</v>
      </c>
    </row>
    <row r="53" spans="1:9" ht="16" x14ac:dyDescent="0.45">
      <c r="A53" s="20">
        <v>2015</v>
      </c>
      <c r="B53" s="21" t="s">
        <v>15</v>
      </c>
      <c r="C53" s="22">
        <v>3885</v>
      </c>
      <c r="D53" s="22">
        <v>50632</v>
      </c>
      <c r="E53" s="22">
        <v>2465172</v>
      </c>
      <c r="F53" s="22">
        <v>1478781</v>
      </c>
      <c r="G53" s="23">
        <v>986391</v>
      </c>
      <c r="H53" s="26">
        <f t="shared" si="1"/>
        <v>42248</v>
      </c>
      <c r="I53" s="27">
        <f xml:space="preserve"> vw_monthly_kpis[[#This Row],[Profit]] / vw_monthly_kpis[[#This Row],[Revenue]]</f>
        <v>0.40013070081925317</v>
      </c>
    </row>
    <row r="54" spans="1:9" ht="16" x14ac:dyDescent="0.45">
      <c r="A54" s="20">
        <v>2015</v>
      </c>
      <c r="B54" s="21" t="s">
        <v>7</v>
      </c>
      <c r="C54" s="22">
        <v>4146</v>
      </c>
      <c r="D54" s="22">
        <v>53080</v>
      </c>
      <c r="E54" s="22">
        <v>2529084</v>
      </c>
      <c r="F54" s="22">
        <v>1528465</v>
      </c>
      <c r="G54" s="23">
        <v>1000619</v>
      </c>
      <c r="H54" s="26">
        <f t="shared" si="1"/>
        <v>42278</v>
      </c>
      <c r="I54" s="27">
        <f xml:space="preserve"> vw_monthly_kpis[[#This Row],[Profit]] / vw_monthly_kpis[[#This Row],[Revenue]]</f>
        <v>0.39564482634819564</v>
      </c>
    </row>
    <row r="55" spans="1:9" ht="16" x14ac:dyDescent="0.45">
      <c r="A55" s="20">
        <v>2015</v>
      </c>
      <c r="B55" s="21" t="s">
        <v>12</v>
      </c>
      <c r="C55" s="22">
        <v>4174</v>
      </c>
      <c r="D55" s="22">
        <v>53402</v>
      </c>
      <c r="E55" s="22">
        <v>2836222</v>
      </c>
      <c r="F55" s="22">
        <v>1730335</v>
      </c>
      <c r="G55" s="23">
        <v>1105887</v>
      </c>
      <c r="H55" s="26">
        <f t="shared" si="1"/>
        <v>42309</v>
      </c>
      <c r="I55" s="27">
        <f xml:space="preserve"> vw_monthly_kpis[[#This Row],[Profit]] / vw_monthly_kpis[[#This Row],[Revenue]]</f>
        <v>0.38991552847414623</v>
      </c>
    </row>
    <row r="56" spans="1:9" ht="16" x14ac:dyDescent="0.45">
      <c r="A56" s="20">
        <v>2015</v>
      </c>
      <c r="B56" s="21" t="s">
        <v>13</v>
      </c>
      <c r="C56" s="22">
        <v>5270</v>
      </c>
      <c r="D56" s="22">
        <v>65325</v>
      </c>
      <c r="E56" s="22">
        <v>3848211</v>
      </c>
      <c r="F56" s="22">
        <v>2368669</v>
      </c>
      <c r="G56" s="23">
        <v>1479542</v>
      </c>
      <c r="H56" s="26">
        <f t="shared" si="1"/>
        <v>42339</v>
      </c>
      <c r="I56" s="27">
        <f xml:space="preserve"> vw_monthly_kpis[[#This Row],[Profit]] / vw_monthly_kpis[[#This Row],[Revenue]]</f>
        <v>0.38447527955197885</v>
      </c>
    </row>
    <row r="57" spans="1:9" ht="16" x14ac:dyDescent="0.45">
      <c r="A57" s="20">
        <v>2016</v>
      </c>
      <c r="B57" s="21" t="s">
        <v>17</v>
      </c>
      <c r="C57" s="22">
        <v>4210</v>
      </c>
      <c r="D57" s="22">
        <v>53933</v>
      </c>
      <c r="E57" s="22">
        <v>2553065</v>
      </c>
      <c r="F57" s="22">
        <v>1545992</v>
      </c>
      <c r="G57" s="23">
        <v>1007073</v>
      </c>
      <c r="H57" s="26">
        <f t="shared" si="1"/>
        <v>42370</v>
      </c>
      <c r="I57" s="27">
        <f xml:space="preserve"> vw_monthly_kpis[[#This Row],[Profit]] / vw_monthly_kpis[[#This Row],[Revenue]]</f>
        <v>0.39445646703080417</v>
      </c>
    </row>
    <row r="58" spans="1:9" ht="16" x14ac:dyDescent="0.45">
      <c r="A58" s="20">
        <v>2016</v>
      </c>
      <c r="B58" s="21" t="s">
        <v>16</v>
      </c>
      <c r="C58" s="22">
        <v>4068</v>
      </c>
      <c r="D58" s="22">
        <v>51069</v>
      </c>
      <c r="E58" s="22">
        <v>2444190</v>
      </c>
      <c r="F58" s="22">
        <v>1479596</v>
      </c>
      <c r="G58" s="23">
        <v>964594</v>
      </c>
      <c r="H58" s="26">
        <f t="shared" si="1"/>
        <v>42401</v>
      </c>
      <c r="I58" s="27">
        <f xml:space="preserve"> vw_monthly_kpis[[#This Row],[Profit]] / vw_monthly_kpis[[#This Row],[Revenue]]</f>
        <v>0.39464771560312412</v>
      </c>
    </row>
    <row r="59" spans="1:9" ht="16" x14ac:dyDescent="0.45">
      <c r="A59" s="20">
        <v>2016</v>
      </c>
      <c r="B59" s="21" t="s">
        <v>6</v>
      </c>
      <c r="C59" s="22">
        <v>4366</v>
      </c>
      <c r="D59" s="22">
        <v>54191</v>
      </c>
      <c r="E59" s="22">
        <v>2608663</v>
      </c>
      <c r="F59" s="22">
        <v>1572131</v>
      </c>
      <c r="G59" s="23">
        <v>1036532</v>
      </c>
      <c r="H59" s="26">
        <f t="shared" si="1"/>
        <v>42430</v>
      </c>
      <c r="I59" s="27">
        <f xml:space="preserve"> vw_monthly_kpis[[#This Row],[Profit]] / vw_monthly_kpis[[#This Row],[Revenue]]</f>
        <v>0.39734224006703817</v>
      </c>
    </row>
    <row r="60" spans="1:9" ht="16" x14ac:dyDescent="0.45">
      <c r="A60" s="20">
        <v>2016</v>
      </c>
      <c r="B60" s="21" t="s">
        <v>11</v>
      </c>
      <c r="C60" s="22">
        <v>4590</v>
      </c>
      <c r="D60" s="22">
        <v>57789</v>
      </c>
      <c r="E60" s="22">
        <v>2756864</v>
      </c>
      <c r="F60" s="22">
        <v>1659571</v>
      </c>
      <c r="G60" s="23">
        <v>1097293</v>
      </c>
      <c r="H60" s="26">
        <f t="shared" si="1"/>
        <v>42461</v>
      </c>
      <c r="I60" s="27">
        <f xml:space="preserve"> vw_monthly_kpis[[#This Row],[Profit]] / vw_monthly_kpis[[#This Row],[Revenue]]</f>
        <v>0.39802217301977899</v>
      </c>
    </row>
    <row r="61" spans="1:9" ht="16" x14ac:dyDescent="0.45">
      <c r="A61" s="20">
        <v>2016</v>
      </c>
      <c r="B61" s="21" t="s">
        <v>10</v>
      </c>
      <c r="C61" s="22">
        <v>5015</v>
      </c>
      <c r="D61" s="22">
        <v>61370</v>
      </c>
      <c r="E61" s="22">
        <v>3264343</v>
      </c>
      <c r="F61" s="22">
        <v>1977178</v>
      </c>
      <c r="G61" s="23">
        <v>1287165</v>
      </c>
      <c r="H61" s="26">
        <f t="shared" si="1"/>
        <v>42491</v>
      </c>
      <c r="I61" s="27">
        <f xml:space="preserve"> vw_monthly_kpis[[#This Row],[Profit]] / vw_monthly_kpis[[#This Row],[Revenue]]</f>
        <v>0.39431058562167026</v>
      </c>
    </row>
    <row r="62" spans="1:9" ht="16" x14ac:dyDescent="0.45">
      <c r="A62" s="20">
        <v>2016</v>
      </c>
      <c r="B62" s="21" t="s">
        <v>9</v>
      </c>
      <c r="C62" s="22">
        <v>5082</v>
      </c>
      <c r="D62" s="22">
        <v>62704</v>
      </c>
      <c r="E62" s="22">
        <v>3586300</v>
      </c>
      <c r="F62" s="22">
        <v>2197648</v>
      </c>
      <c r="G62" s="23">
        <v>1388652</v>
      </c>
      <c r="H62" s="26">
        <f t="shared" si="1"/>
        <v>42522</v>
      </c>
      <c r="I62" s="27">
        <f xml:space="preserve"> vw_monthly_kpis[[#This Row],[Profit]] / vw_monthly_kpis[[#This Row],[Revenue]]</f>
        <v>0.38721021665783678</v>
      </c>
    </row>
    <row r="63" spans="1:9" ht="16" x14ac:dyDescent="0.45">
      <c r="A63" s="28">
        <v>2016</v>
      </c>
      <c r="B63" s="29" t="s">
        <v>8</v>
      </c>
      <c r="C63" s="30">
        <v>2067</v>
      </c>
      <c r="D63" s="30">
        <v>29757</v>
      </c>
      <c r="E63" s="30">
        <v>499960</v>
      </c>
      <c r="F63" s="30">
        <v>245321</v>
      </c>
      <c r="G63" s="31">
        <v>254639</v>
      </c>
      <c r="H63" s="32">
        <f t="shared" si="1"/>
        <v>42552</v>
      </c>
      <c r="I63" s="33">
        <f xml:space="preserve"> vw_monthly_kpis[[#This Row],[Profit]] / vw_monthly_kpis[[#This Row],[Revenue]]</f>
        <v>0.50931874549963996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D90E-6B09-47E8-9328-0631037CB671}">
  <sheetPr>
    <tabColor theme="7" tint="0.79998168889431442"/>
  </sheetPr>
  <dimension ref="A1:F49"/>
  <sheetViews>
    <sheetView topLeftCell="A2" workbookViewId="0">
      <selection activeCell="O18" sqref="O18"/>
    </sheetView>
  </sheetViews>
  <sheetFormatPr defaultRowHeight="14.5" x14ac:dyDescent="0.35"/>
  <cols>
    <col min="1" max="1" width="13.54296875" bestFit="1" customWidth="1"/>
    <col min="2" max="2" width="17.6328125" bestFit="1" customWidth="1"/>
    <col min="3" max="3" width="17.26953125" style="19" customWidth="1"/>
    <col min="4" max="4" width="13.7265625" style="3" bestFit="1" customWidth="1"/>
    <col min="5" max="6" width="10.1796875" style="3" bestFit="1" customWidth="1"/>
  </cols>
  <sheetData>
    <row r="1" spans="1:6" ht="16.5" x14ac:dyDescent="0.45">
      <c r="A1" s="44" t="s">
        <v>40</v>
      </c>
      <c r="B1" s="44" t="s">
        <v>41</v>
      </c>
      <c r="C1" s="48" t="s">
        <v>42</v>
      </c>
      <c r="D1" s="46" t="s">
        <v>2</v>
      </c>
      <c r="E1" s="46" t="s">
        <v>4</v>
      </c>
      <c r="F1" s="46" t="s">
        <v>5</v>
      </c>
    </row>
    <row r="2" spans="1:6" ht="16" x14ac:dyDescent="0.45">
      <c r="A2" s="45" t="s">
        <v>43</v>
      </c>
      <c r="B2" s="45" t="s">
        <v>44</v>
      </c>
      <c r="C2" s="49" t="s">
        <v>45</v>
      </c>
      <c r="D2" s="47">
        <v>1294</v>
      </c>
      <c r="E2" s="47">
        <v>594688</v>
      </c>
      <c r="F2" s="47">
        <v>279435</v>
      </c>
    </row>
    <row r="3" spans="1:6" ht="16" x14ac:dyDescent="0.45">
      <c r="A3" s="45" t="s">
        <v>46</v>
      </c>
      <c r="B3" s="45" t="s">
        <v>47</v>
      </c>
      <c r="C3" s="49" t="s">
        <v>48</v>
      </c>
      <c r="D3" s="47">
        <v>48</v>
      </c>
      <c r="E3" s="47">
        <v>9467</v>
      </c>
      <c r="F3" s="47">
        <v>4323</v>
      </c>
    </row>
    <row r="4" spans="1:6" ht="16" x14ac:dyDescent="0.45">
      <c r="A4" s="45" t="s">
        <v>49</v>
      </c>
      <c r="B4" s="45" t="s">
        <v>50</v>
      </c>
      <c r="C4" s="49" t="s">
        <v>45</v>
      </c>
      <c r="D4" s="47">
        <v>11002</v>
      </c>
      <c r="E4" s="47">
        <v>8230179</v>
      </c>
      <c r="F4" s="47">
        <v>3240012</v>
      </c>
    </row>
    <row r="5" spans="1:6" ht="16" x14ac:dyDescent="0.45">
      <c r="A5" s="45" t="s">
        <v>46</v>
      </c>
      <c r="B5" s="45" t="s">
        <v>51</v>
      </c>
      <c r="C5" s="49" t="s">
        <v>45</v>
      </c>
      <c r="D5" s="47">
        <v>2344</v>
      </c>
      <c r="E5" s="47">
        <v>2174487</v>
      </c>
      <c r="F5" s="47">
        <v>703994</v>
      </c>
    </row>
    <row r="6" spans="1:6" ht="16" x14ac:dyDescent="0.45">
      <c r="A6" s="45" t="s">
        <v>46</v>
      </c>
      <c r="B6" s="45" t="s">
        <v>50</v>
      </c>
      <c r="C6" s="49" t="s">
        <v>48</v>
      </c>
      <c r="D6" s="47">
        <v>2404</v>
      </c>
      <c r="E6" s="47">
        <v>1890940</v>
      </c>
      <c r="F6" s="47">
        <v>671179</v>
      </c>
    </row>
    <row r="7" spans="1:6" ht="16" x14ac:dyDescent="0.45">
      <c r="A7" s="45" t="s">
        <v>52</v>
      </c>
      <c r="B7" s="45" t="s">
        <v>47</v>
      </c>
      <c r="C7" s="49" t="s">
        <v>48</v>
      </c>
      <c r="D7" s="47">
        <v>38</v>
      </c>
      <c r="E7" s="47">
        <v>7060</v>
      </c>
      <c r="F7" s="47">
        <v>3676</v>
      </c>
    </row>
    <row r="8" spans="1:6" ht="16" x14ac:dyDescent="0.45">
      <c r="A8" s="45" t="s">
        <v>49</v>
      </c>
      <c r="B8" s="45" t="s">
        <v>44</v>
      </c>
      <c r="C8" s="49" t="s">
        <v>48</v>
      </c>
      <c r="D8" s="47">
        <v>2496</v>
      </c>
      <c r="E8" s="47">
        <v>1286298</v>
      </c>
      <c r="F8" s="47">
        <v>509648</v>
      </c>
    </row>
    <row r="9" spans="1:6" ht="16" x14ac:dyDescent="0.45">
      <c r="A9" s="45" t="s">
        <v>53</v>
      </c>
      <c r="B9" s="45" t="s">
        <v>51</v>
      </c>
      <c r="C9" s="49" t="s">
        <v>45</v>
      </c>
      <c r="D9" s="47">
        <v>4608</v>
      </c>
      <c r="E9" s="47">
        <v>3577016</v>
      </c>
      <c r="F9" s="47">
        <v>1156973</v>
      </c>
    </row>
    <row r="10" spans="1:6" ht="16" x14ac:dyDescent="0.45">
      <c r="A10" s="45" t="s">
        <v>53</v>
      </c>
      <c r="B10" s="45" t="s">
        <v>47</v>
      </c>
      <c r="C10" s="49" t="s">
        <v>45</v>
      </c>
      <c r="D10" s="47">
        <v>42</v>
      </c>
      <c r="E10" s="47">
        <v>36155</v>
      </c>
      <c r="F10" s="47">
        <v>11432</v>
      </c>
    </row>
    <row r="11" spans="1:6" ht="16" x14ac:dyDescent="0.45">
      <c r="A11" s="45" t="s">
        <v>52</v>
      </c>
      <c r="B11" s="45" t="s">
        <v>51</v>
      </c>
      <c r="C11" s="49" t="s">
        <v>45</v>
      </c>
      <c r="D11" s="47">
        <v>2234</v>
      </c>
      <c r="E11" s="47">
        <v>1880319</v>
      </c>
      <c r="F11" s="47">
        <v>693040</v>
      </c>
    </row>
    <row r="12" spans="1:6" ht="16" x14ac:dyDescent="0.45">
      <c r="A12" s="45" t="s">
        <v>52</v>
      </c>
      <c r="B12" s="45" t="s">
        <v>44</v>
      </c>
      <c r="C12" s="49" t="s">
        <v>48</v>
      </c>
      <c r="D12" s="47">
        <v>844</v>
      </c>
      <c r="E12" s="47">
        <v>587587</v>
      </c>
      <c r="F12" s="47">
        <v>217009</v>
      </c>
    </row>
    <row r="13" spans="1:6" ht="16" x14ac:dyDescent="0.45">
      <c r="A13" s="45" t="s">
        <v>52</v>
      </c>
      <c r="B13" s="45" t="s">
        <v>50</v>
      </c>
      <c r="C13" s="49" t="s">
        <v>48</v>
      </c>
      <c r="D13" s="47">
        <v>2508</v>
      </c>
      <c r="E13" s="47">
        <v>2293603</v>
      </c>
      <c r="F13" s="47">
        <v>863001</v>
      </c>
    </row>
    <row r="14" spans="1:6" ht="16" x14ac:dyDescent="0.45">
      <c r="A14" s="45" t="s">
        <v>43</v>
      </c>
      <c r="B14" s="45" t="s">
        <v>51</v>
      </c>
      <c r="C14" s="49" t="s">
        <v>45</v>
      </c>
      <c r="D14" s="47">
        <v>2402</v>
      </c>
      <c r="E14" s="47">
        <v>1309683</v>
      </c>
      <c r="F14" s="47">
        <v>610616</v>
      </c>
    </row>
    <row r="15" spans="1:6" ht="16" x14ac:dyDescent="0.45">
      <c r="A15" s="45" t="s">
        <v>54</v>
      </c>
      <c r="B15" s="45" t="s">
        <v>44</v>
      </c>
      <c r="C15" s="49" t="s">
        <v>45</v>
      </c>
      <c r="D15" s="47">
        <v>1014</v>
      </c>
      <c r="E15" s="47">
        <v>677272</v>
      </c>
      <c r="F15" s="47">
        <v>281851</v>
      </c>
    </row>
    <row r="16" spans="1:6" ht="16" x14ac:dyDescent="0.45">
      <c r="A16" s="45" t="s">
        <v>46</v>
      </c>
      <c r="B16" s="45" t="s">
        <v>44</v>
      </c>
      <c r="C16" s="49" t="s">
        <v>45</v>
      </c>
      <c r="D16" s="47">
        <v>746</v>
      </c>
      <c r="E16" s="47">
        <v>508578</v>
      </c>
      <c r="F16" s="47">
        <v>180075</v>
      </c>
    </row>
    <row r="17" spans="1:6" ht="16" x14ac:dyDescent="0.45">
      <c r="A17" s="45" t="s">
        <v>43</v>
      </c>
      <c r="B17" s="45" t="s">
        <v>47</v>
      </c>
      <c r="C17" s="49" t="s">
        <v>45</v>
      </c>
      <c r="D17" s="47">
        <v>50</v>
      </c>
      <c r="E17" s="47">
        <v>20729</v>
      </c>
      <c r="F17" s="47">
        <v>10937</v>
      </c>
    </row>
    <row r="18" spans="1:6" ht="16" x14ac:dyDescent="0.45">
      <c r="A18" s="45" t="s">
        <v>54</v>
      </c>
      <c r="B18" s="45" t="s">
        <v>51</v>
      </c>
      <c r="C18" s="49" t="s">
        <v>48</v>
      </c>
      <c r="D18" s="47">
        <v>2294</v>
      </c>
      <c r="E18" s="47">
        <v>1895333</v>
      </c>
      <c r="F18" s="47">
        <v>787379</v>
      </c>
    </row>
    <row r="19" spans="1:6" ht="16" x14ac:dyDescent="0.45">
      <c r="A19" s="45" t="s">
        <v>46</v>
      </c>
      <c r="B19" s="45" t="s">
        <v>47</v>
      </c>
      <c r="C19" s="49" t="s">
        <v>45</v>
      </c>
      <c r="D19" s="47">
        <v>22</v>
      </c>
      <c r="E19" s="47">
        <v>4512</v>
      </c>
      <c r="F19" s="47">
        <v>1281</v>
      </c>
    </row>
    <row r="20" spans="1:6" ht="16" x14ac:dyDescent="0.45">
      <c r="A20" s="45" t="s">
        <v>52</v>
      </c>
      <c r="B20" s="45" t="s">
        <v>51</v>
      </c>
      <c r="C20" s="49" t="s">
        <v>48</v>
      </c>
      <c r="D20" s="47">
        <v>2182</v>
      </c>
      <c r="E20" s="47">
        <v>1834580</v>
      </c>
      <c r="F20" s="47">
        <v>684551</v>
      </c>
    </row>
    <row r="21" spans="1:6" ht="16" x14ac:dyDescent="0.45">
      <c r="A21" s="45" t="s">
        <v>54</v>
      </c>
      <c r="B21" s="45" t="s">
        <v>47</v>
      </c>
      <c r="C21" s="49" t="s">
        <v>48</v>
      </c>
      <c r="D21" s="47">
        <v>56</v>
      </c>
      <c r="E21" s="47">
        <v>18511</v>
      </c>
      <c r="F21" s="47">
        <v>11296</v>
      </c>
    </row>
    <row r="22" spans="1:6" ht="16" x14ac:dyDescent="0.45">
      <c r="A22" s="45" t="s">
        <v>49</v>
      </c>
      <c r="B22" s="45" t="s">
        <v>51</v>
      </c>
      <c r="C22" s="49" t="s">
        <v>48</v>
      </c>
      <c r="D22" s="47">
        <v>5370</v>
      </c>
      <c r="E22" s="47">
        <v>4315968</v>
      </c>
      <c r="F22" s="47">
        <v>1658946</v>
      </c>
    </row>
    <row r="23" spans="1:6" ht="16" x14ac:dyDescent="0.45">
      <c r="A23" s="45" t="s">
        <v>43</v>
      </c>
      <c r="B23" s="45" t="s">
        <v>50</v>
      </c>
      <c r="C23" s="49" t="s">
        <v>48</v>
      </c>
      <c r="D23" s="47">
        <v>3222</v>
      </c>
      <c r="E23" s="47">
        <v>2062851</v>
      </c>
      <c r="F23" s="47">
        <v>943904</v>
      </c>
    </row>
    <row r="24" spans="1:6" ht="16" x14ac:dyDescent="0.45">
      <c r="A24" s="45" t="s">
        <v>49</v>
      </c>
      <c r="B24" s="45" t="s">
        <v>47</v>
      </c>
      <c r="C24" s="49" t="s">
        <v>48</v>
      </c>
      <c r="D24" s="47">
        <v>110</v>
      </c>
      <c r="E24" s="47">
        <v>56263</v>
      </c>
      <c r="F24" s="47">
        <v>27084</v>
      </c>
    </row>
    <row r="25" spans="1:6" ht="16" x14ac:dyDescent="0.45">
      <c r="A25" s="45" t="s">
        <v>54</v>
      </c>
      <c r="B25" s="45" t="s">
        <v>50</v>
      </c>
      <c r="C25" s="49" t="s">
        <v>48</v>
      </c>
      <c r="D25" s="47">
        <v>3252</v>
      </c>
      <c r="E25" s="47">
        <v>2498885</v>
      </c>
      <c r="F25" s="47">
        <v>1057356</v>
      </c>
    </row>
    <row r="26" spans="1:6" ht="16" x14ac:dyDescent="0.45">
      <c r="A26" s="45" t="s">
        <v>53</v>
      </c>
      <c r="B26" s="45" t="s">
        <v>44</v>
      </c>
      <c r="C26" s="49" t="s">
        <v>48</v>
      </c>
      <c r="D26" s="47">
        <v>1840</v>
      </c>
      <c r="E26" s="47">
        <v>1705225</v>
      </c>
      <c r="F26" s="47">
        <v>537629</v>
      </c>
    </row>
    <row r="27" spans="1:6" ht="16" x14ac:dyDescent="0.45">
      <c r="A27" s="45" t="s">
        <v>49</v>
      </c>
      <c r="B27" s="45" t="s">
        <v>47</v>
      </c>
      <c r="C27" s="49" t="s">
        <v>45</v>
      </c>
      <c r="D27" s="47">
        <v>168</v>
      </c>
      <c r="E27" s="47">
        <v>74801</v>
      </c>
      <c r="F27" s="47">
        <v>29603</v>
      </c>
    </row>
    <row r="28" spans="1:6" ht="16" x14ac:dyDescent="0.45">
      <c r="A28" s="45" t="s">
        <v>43</v>
      </c>
      <c r="B28" s="45" t="s">
        <v>50</v>
      </c>
      <c r="C28" s="49" t="s">
        <v>45</v>
      </c>
      <c r="D28" s="47">
        <v>3936</v>
      </c>
      <c r="E28" s="47">
        <v>2346657</v>
      </c>
      <c r="F28" s="47">
        <v>1142626</v>
      </c>
    </row>
    <row r="29" spans="1:6" ht="16" x14ac:dyDescent="0.45">
      <c r="A29" s="45" t="s">
        <v>49</v>
      </c>
      <c r="B29" s="45" t="s">
        <v>44</v>
      </c>
      <c r="C29" s="49" t="s">
        <v>45</v>
      </c>
      <c r="D29" s="47">
        <v>3202</v>
      </c>
      <c r="E29" s="47">
        <v>1715759</v>
      </c>
      <c r="F29" s="47">
        <v>701188</v>
      </c>
    </row>
    <row r="30" spans="1:6" ht="16" x14ac:dyDescent="0.45">
      <c r="A30" s="45" t="s">
        <v>46</v>
      </c>
      <c r="B30" s="45" t="s">
        <v>50</v>
      </c>
      <c r="C30" s="49" t="s">
        <v>45</v>
      </c>
      <c r="D30" s="47">
        <v>2382</v>
      </c>
      <c r="E30" s="47">
        <v>1730614</v>
      </c>
      <c r="F30" s="47">
        <v>605392</v>
      </c>
    </row>
    <row r="31" spans="1:6" ht="16" x14ac:dyDescent="0.45">
      <c r="A31" s="45" t="s">
        <v>53</v>
      </c>
      <c r="B31" s="45" t="s">
        <v>47</v>
      </c>
      <c r="C31" s="49" t="s">
        <v>48</v>
      </c>
      <c r="D31" s="47">
        <v>16</v>
      </c>
      <c r="E31" s="47">
        <v>18896</v>
      </c>
      <c r="F31" s="47">
        <v>6489</v>
      </c>
    </row>
    <row r="32" spans="1:6" ht="16" x14ac:dyDescent="0.45">
      <c r="A32" s="45" t="s">
        <v>53</v>
      </c>
      <c r="B32" s="45" t="s">
        <v>51</v>
      </c>
      <c r="C32" s="49" t="s">
        <v>48</v>
      </c>
      <c r="D32" s="47">
        <v>4494</v>
      </c>
      <c r="E32" s="47">
        <v>4342280</v>
      </c>
      <c r="F32" s="47">
        <v>1371979</v>
      </c>
    </row>
    <row r="33" spans="1:6" ht="16" x14ac:dyDescent="0.45">
      <c r="A33" s="45" t="s">
        <v>46</v>
      </c>
      <c r="B33" s="45" t="s">
        <v>51</v>
      </c>
      <c r="C33" s="49" t="s">
        <v>48</v>
      </c>
      <c r="D33" s="47">
        <v>2208</v>
      </c>
      <c r="E33" s="47">
        <v>1639385</v>
      </c>
      <c r="F33" s="47">
        <v>541651</v>
      </c>
    </row>
    <row r="34" spans="1:6" ht="16" x14ac:dyDescent="0.45">
      <c r="A34" s="45" t="s">
        <v>54</v>
      </c>
      <c r="B34" s="45" t="s">
        <v>47</v>
      </c>
      <c r="C34" s="49" t="s">
        <v>45</v>
      </c>
      <c r="D34" s="47">
        <v>46</v>
      </c>
      <c r="E34" s="47">
        <v>20227</v>
      </c>
      <c r="F34" s="47">
        <v>8496</v>
      </c>
    </row>
    <row r="35" spans="1:6" ht="16" x14ac:dyDescent="0.45">
      <c r="A35" s="45" t="s">
        <v>43</v>
      </c>
      <c r="B35" s="45" t="s">
        <v>44</v>
      </c>
      <c r="C35" s="49" t="s">
        <v>48</v>
      </c>
      <c r="D35" s="47">
        <v>1032</v>
      </c>
      <c r="E35" s="47">
        <v>414581</v>
      </c>
      <c r="F35" s="47">
        <v>186600</v>
      </c>
    </row>
    <row r="36" spans="1:6" ht="16" x14ac:dyDescent="0.45">
      <c r="A36" s="45" t="s">
        <v>52</v>
      </c>
      <c r="B36" s="45" t="s">
        <v>44</v>
      </c>
      <c r="C36" s="49" t="s">
        <v>45</v>
      </c>
      <c r="D36" s="47">
        <v>864</v>
      </c>
      <c r="E36" s="47">
        <v>563132</v>
      </c>
      <c r="F36" s="47">
        <v>218274</v>
      </c>
    </row>
    <row r="37" spans="1:6" ht="16" x14ac:dyDescent="0.45">
      <c r="A37" s="45" t="s">
        <v>43</v>
      </c>
      <c r="B37" s="45" t="s">
        <v>47</v>
      </c>
      <c r="C37" s="49" t="s">
        <v>48</v>
      </c>
      <c r="D37" s="47">
        <v>66</v>
      </c>
      <c r="E37" s="47">
        <v>19853</v>
      </c>
      <c r="F37" s="47">
        <v>12187</v>
      </c>
    </row>
    <row r="38" spans="1:6" ht="16" x14ac:dyDescent="0.45">
      <c r="A38" s="45" t="s">
        <v>53</v>
      </c>
      <c r="B38" s="45" t="s">
        <v>50</v>
      </c>
      <c r="C38" s="49" t="s">
        <v>48</v>
      </c>
      <c r="D38" s="47">
        <v>5156</v>
      </c>
      <c r="E38" s="47">
        <v>4794145</v>
      </c>
      <c r="F38" s="47">
        <v>1526794</v>
      </c>
    </row>
    <row r="39" spans="1:6" ht="16" x14ac:dyDescent="0.45">
      <c r="A39" s="45" t="s">
        <v>43</v>
      </c>
      <c r="B39" s="45" t="s">
        <v>51</v>
      </c>
      <c r="C39" s="49" t="s">
        <v>48</v>
      </c>
      <c r="D39" s="47">
        <v>2176</v>
      </c>
      <c r="E39" s="47">
        <v>1166696</v>
      </c>
      <c r="F39" s="47">
        <v>530991</v>
      </c>
    </row>
    <row r="40" spans="1:6" ht="16" x14ac:dyDescent="0.45">
      <c r="A40" s="45" t="s">
        <v>54</v>
      </c>
      <c r="B40" s="45" t="s">
        <v>50</v>
      </c>
      <c r="C40" s="49" t="s">
        <v>45</v>
      </c>
      <c r="D40" s="47">
        <v>3406</v>
      </c>
      <c r="E40" s="47">
        <v>2710077</v>
      </c>
      <c r="F40" s="47">
        <v>1120188</v>
      </c>
    </row>
    <row r="41" spans="1:6" ht="16" x14ac:dyDescent="0.45">
      <c r="A41" s="45" t="s">
        <v>53</v>
      </c>
      <c r="B41" s="45" t="s">
        <v>50</v>
      </c>
      <c r="C41" s="49" t="s">
        <v>45</v>
      </c>
      <c r="D41" s="47">
        <v>5238</v>
      </c>
      <c r="E41" s="47">
        <v>4506730</v>
      </c>
      <c r="F41" s="47">
        <v>1427614</v>
      </c>
    </row>
    <row r="42" spans="1:6" ht="16" x14ac:dyDescent="0.45">
      <c r="A42" s="45" t="s">
        <v>49</v>
      </c>
      <c r="B42" s="45" t="s">
        <v>51</v>
      </c>
      <c r="C42" s="49" t="s">
        <v>45</v>
      </c>
      <c r="D42" s="47">
        <v>5900</v>
      </c>
      <c r="E42" s="47">
        <v>4567554</v>
      </c>
      <c r="F42" s="47">
        <v>1852730</v>
      </c>
    </row>
    <row r="43" spans="1:6" ht="16" x14ac:dyDescent="0.45">
      <c r="A43" s="45" t="s">
        <v>54</v>
      </c>
      <c r="B43" s="45" t="s">
        <v>44</v>
      </c>
      <c r="C43" s="49" t="s">
        <v>48</v>
      </c>
      <c r="D43" s="47">
        <v>1110</v>
      </c>
      <c r="E43" s="47">
        <v>873578</v>
      </c>
      <c r="F43" s="47">
        <v>353376</v>
      </c>
    </row>
    <row r="44" spans="1:6" ht="16" x14ac:dyDescent="0.45">
      <c r="A44" s="45" t="s">
        <v>52</v>
      </c>
      <c r="B44" s="45" t="s">
        <v>47</v>
      </c>
      <c r="C44" s="49" t="s">
        <v>45</v>
      </c>
      <c r="D44" s="47">
        <v>68</v>
      </c>
      <c r="E44" s="47">
        <v>21568</v>
      </c>
      <c r="F44" s="47">
        <v>11361</v>
      </c>
    </row>
    <row r="45" spans="1:6" ht="16" x14ac:dyDescent="0.45">
      <c r="A45" s="45" t="s">
        <v>52</v>
      </c>
      <c r="B45" s="45" t="s">
        <v>50</v>
      </c>
      <c r="C45" s="49" t="s">
        <v>45</v>
      </c>
      <c r="D45" s="47">
        <v>2360</v>
      </c>
      <c r="E45" s="47">
        <v>1790747</v>
      </c>
      <c r="F45" s="47">
        <v>669083</v>
      </c>
    </row>
    <row r="46" spans="1:6" ht="16" x14ac:dyDescent="0.45">
      <c r="A46" s="45" t="s">
        <v>53</v>
      </c>
      <c r="B46" s="45" t="s">
        <v>44</v>
      </c>
      <c r="C46" s="49" t="s">
        <v>45</v>
      </c>
      <c r="D46" s="47">
        <v>2542</v>
      </c>
      <c r="E46" s="47">
        <v>2321612</v>
      </c>
      <c r="F46" s="47">
        <v>737120</v>
      </c>
    </row>
    <row r="47" spans="1:6" ht="16" x14ac:dyDescent="0.45">
      <c r="A47" s="45" t="s">
        <v>54</v>
      </c>
      <c r="B47" s="45" t="s">
        <v>51</v>
      </c>
      <c r="C47" s="49" t="s">
        <v>45</v>
      </c>
      <c r="D47" s="47">
        <v>2442</v>
      </c>
      <c r="E47" s="47">
        <v>1952313</v>
      </c>
      <c r="F47" s="47">
        <v>793911</v>
      </c>
    </row>
    <row r="48" spans="1:6" ht="16" x14ac:dyDescent="0.45">
      <c r="A48" s="45" t="s">
        <v>49</v>
      </c>
      <c r="B48" s="45" t="s">
        <v>50</v>
      </c>
      <c r="C48" s="49" t="s">
        <v>48</v>
      </c>
      <c r="D48" s="47">
        <v>10958</v>
      </c>
      <c r="E48" s="47">
        <v>7728725</v>
      </c>
      <c r="F48" s="47">
        <v>3054433</v>
      </c>
    </row>
    <row r="49" spans="1:6" ht="16" x14ac:dyDescent="0.45">
      <c r="A49" s="45" t="s">
        <v>46</v>
      </c>
      <c r="B49" s="45" t="s">
        <v>44</v>
      </c>
      <c r="C49" s="49" t="s">
        <v>48</v>
      </c>
      <c r="D49" s="47">
        <v>844</v>
      </c>
      <c r="E49" s="47">
        <v>474889</v>
      </c>
      <c r="F49" s="47">
        <v>172387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B9F6E7-4E9D-4650-9AE5-9242681D8D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Revenue and Profit by Product S</vt:lpstr>
      <vt:lpstr>Revenue by Age Group and Gender</vt:lpstr>
      <vt:lpstr>Units Sold by Year&amp;Profit</vt:lpstr>
      <vt:lpstr>Revenue and Profit Over Time</vt:lpstr>
      <vt:lpstr>Customer segments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Margarita Bob</dc:creator>
  <cp:lastModifiedBy>Margarita Bob</cp:lastModifiedBy>
  <dcterms:created xsi:type="dcterms:W3CDTF">2026-02-09T03:43:09Z</dcterms:created>
  <dcterms:modified xsi:type="dcterms:W3CDTF">2026-02-10T06:10:40Z</dcterms:modified>
</cp:coreProperties>
</file>